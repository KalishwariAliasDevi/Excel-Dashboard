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Excel\"/>
    </mc:Choice>
  </mc:AlternateContent>
  <bookViews>
    <workbookView xWindow="0" yWindow="0" windowWidth="20490" windowHeight="9045"/>
  </bookViews>
  <sheets>
    <sheet name="Pivot" sheetId="5" r:id="rId1"/>
    <sheet name="Sheet2" sheetId="7" r:id="rId2"/>
    <sheet name="Data" sheetId="1" r:id="rId3"/>
    <sheet name="Dashboard" sheetId="2" r:id="rId4"/>
  </sheets>
  <definedNames>
    <definedName name="Slicer_Assessment_Year">#N/A</definedName>
    <definedName name="Slicer_State">#N/A</definedName>
  </definedNames>
  <calcPr calcId="152511"/>
  <pivotCaches>
    <pivotCache cacheId="0" r:id="rId5"/>
    <pivotCache cacheId="1"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<sst xmlns="http://schemas.openxmlformats.org/spreadsheetml/2006/main" count="931" uniqueCount="307">
  <si>
    <t>Date</t>
  </si>
  <si>
    <t>Taxpayer Name</t>
  </si>
  <si>
    <t>PAN</t>
  </si>
  <si>
    <t>Tax Amount</t>
  </si>
  <si>
    <t>Tax Type</t>
  </si>
  <si>
    <t>Status</t>
  </si>
  <si>
    <t>Assessment Year</t>
  </si>
  <si>
    <t>State</t>
  </si>
  <si>
    <t>Kavya Bose</t>
  </si>
  <si>
    <t>Ravi Reddy</t>
  </si>
  <si>
    <t>Priya Singh</t>
  </si>
  <si>
    <t>Arun Nair</t>
  </si>
  <si>
    <t>Meena Joshi</t>
  </si>
  <si>
    <t>Anjali Menon</t>
  </si>
  <si>
    <t>Karthik Menon</t>
  </si>
  <si>
    <t>Priya Menon</t>
  </si>
  <si>
    <t>Meena Kumar</t>
  </si>
  <si>
    <t>Anjali Reddy</t>
  </si>
  <si>
    <t>Arun Sharma</t>
  </si>
  <si>
    <t>Ravi Bose</t>
  </si>
  <si>
    <t>Divya Bose</t>
  </si>
  <si>
    <t>Priya Nair</t>
  </si>
  <si>
    <t>Suresh Bose</t>
  </si>
  <si>
    <t>Kavya Patel</t>
  </si>
  <si>
    <t>Priya Bose</t>
  </si>
  <si>
    <t>Arun Reddy</t>
  </si>
  <si>
    <t>Meena Reddy</t>
  </si>
  <si>
    <t>Ravi Patel</t>
  </si>
  <si>
    <t>Priya Patel</t>
  </si>
  <si>
    <t>Anjali Patel</t>
  </si>
  <si>
    <t>Suresh Kumar</t>
  </si>
  <si>
    <t>Arun Joshi</t>
  </si>
  <si>
    <t>Kavya Joshi</t>
  </si>
  <si>
    <t>Suresh Sharma</t>
  </si>
  <si>
    <t>Suresh Joshi</t>
  </si>
  <si>
    <t>Divya Kumar</t>
  </si>
  <si>
    <t>Karthik Das</t>
  </si>
  <si>
    <t>Divya Patel</t>
  </si>
  <si>
    <t>Kavya Sharma</t>
  </si>
  <si>
    <t>Anjali Sharma</t>
  </si>
  <si>
    <t>Ravi Joshi</t>
  </si>
  <si>
    <t>Meena Bose</t>
  </si>
  <si>
    <t>Priya Das</t>
  </si>
  <si>
    <t>Divya Joshi</t>
  </si>
  <si>
    <t>Kavya Singh</t>
  </si>
  <si>
    <t>Ravi Menon</t>
  </si>
  <si>
    <t>Vijay Menon</t>
  </si>
  <si>
    <t>Arun Singh</t>
  </si>
  <si>
    <t>Kavya Menon</t>
  </si>
  <si>
    <t>Kavya Reddy</t>
  </si>
  <si>
    <t>Ravi Singh</t>
  </si>
  <si>
    <t>Karthik Singh</t>
  </si>
  <si>
    <t>Suresh Das</t>
  </si>
  <si>
    <t>Kavya Nair</t>
  </si>
  <si>
    <t>Meena Nair</t>
  </si>
  <si>
    <t>Priya Reddy</t>
  </si>
  <si>
    <t>Priya Kumar</t>
  </si>
  <si>
    <t>Divya Sharma</t>
  </si>
  <si>
    <t>Arun Kumar</t>
  </si>
  <si>
    <t>Arun Bose</t>
  </si>
  <si>
    <t>Meena Menon</t>
  </si>
  <si>
    <t>Vijay Nair</t>
  </si>
  <si>
    <t>Meena Singh</t>
  </si>
  <si>
    <t>Meena Patel</t>
  </si>
  <si>
    <t>Vijay Reddy</t>
  </si>
  <si>
    <t>Karthik Nair</t>
  </si>
  <si>
    <t>Suresh Nair</t>
  </si>
  <si>
    <t>Divya Menon</t>
  </si>
  <si>
    <t>Priya Sharma</t>
  </si>
  <si>
    <t>Karthik Kumar</t>
  </si>
  <si>
    <t>Vijay Joshi</t>
  </si>
  <si>
    <t>ABCDE0000F</t>
  </si>
  <si>
    <t>ABCDE0001F</t>
  </si>
  <si>
    <t>ABCDE0002F</t>
  </si>
  <si>
    <t>ABCDE0003F</t>
  </si>
  <si>
    <t>ABCDE0004F</t>
  </si>
  <si>
    <t>ABCDE0005F</t>
  </si>
  <si>
    <t>ABCDE0006F</t>
  </si>
  <si>
    <t>ABCDE0007F</t>
  </si>
  <si>
    <t>ABCDE0008F</t>
  </si>
  <si>
    <t>ABCDE0009F</t>
  </si>
  <si>
    <t>ABCDE0010F</t>
  </si>
  <si>
    <t>ABCDE0011F</t>
  </si>
  <si>
    <t>ABCDE0012F</t>
  </si>
  <si>
    <t>ABCDE0013F</t>
  </si>
  <si>
    <t>ABCDE0014F</t>
  </si>
  <si>
    <t>ABCDE0015F</t>
  </si>
  <si>
    <t>ABCDE0016F</t>
  </si>
  <si>
    <t>ABCDE0017F</t>
  </si>
  <si>
    <t>ABCDE0018F</t>
  </si>
  <si>
    <t>ABCDE0019F</t>
  </si>
  <si>
    <t>ABCDE0020F</t>
  </si>
  <si>
    <t>ABCDE0021F</t>
  </si>
  <si>
    <t>ABCDE0022F</t>
  </si>
  <si>
    <t>ABCDE0023F</t>
  </si>
  <si>
    <t>ABCDE0024F</t>
  </si>
  <si>
    <t>ABCDE0025F</t>
  </si>
  <si>
    <t>ABCDE0026F</t>
  </si>
  <si>
    <t>ABCDE0027F</t>
  </si>
  <si>
    <t>ABCDE0028F</t>
  </si>
  <si>
    <t>ABCDE0029F</t>
  </si>
  <si>
    <t>ABCDE0030F</t>
  </si>
  <si>
    <t>ABCDE0031F</t>
  </si>
  <si>
    <t>ABCDE0032F</t>
  </si>
  <si>
    <t>ABCDE0033F</t>
  </si>
  <si>
    <t>ABCDE0034F</t>
  </si>
  <si>
    <t>ABCDE0035F</t>
  </si>
  <si>
    <t>ABCDE0036F</t>
  </si>
  <si>
    <t>ABCDE0037F</t>
  </si>
  <si>
    <t>ABCDE0038F</t>
  </si>
  <si>
    <t>ABCDE0039F</t>
  </si>
  <si>
    <t>ABCDE0040F</t>
  </si>
  <si>
    <t>ABCDE0041F</t>
  </si>
  <si>
    <t>ABCDE0042F</t>
  </si>
  <si>
    <t>ABCDE0043F</t>
  </si>
  <si>
    <t>ABCDE0044F</t>
  </si>
  <si>
    <t>ABCDE0045F</t>
  </si>
  <si>
    <t>ABCDE0046F</t>
  </si>
  <si>
    <t>ABCDE0047F</t>
  </si>
  <si>
    <t>ABCDE0048F</t>
  </si>
  <si>
    <t>ABCDE0049F</t>
  </si>
  <si>
    <t>ABCDE0050F</t>
  </si>
  <si>
    <t>ABCDE0051F</t>
  </si>
  <si>
    <t>ABCDE0052F</t>
  </si>
  <si>
    <t>ABCDE0053F</t>
  </si>
  <si>
    <t>ABCDE0054F</t>
  </si>
  <si>
    <t>ABCDE0055F</t>
  </si>
  <si>
    <t>ABCDE0056F</t>
  </si>
  <si>
    <t>ABCDE0057F</t>
  </si>
  <si>
    <t>ABCDE0058F</t>
  </si>
  <si>
    <t>ABCDE0059F</t>
  </si>
  <si>
    <t>ABCDE0060F</t>
  </si>
  <si>
    <t>ABCDE0061F</t>
  </si>
  <si>
    <t>ABCDE0062F</t>
  </si>
  <si>
    <t>ABCDE0063F</t>
  </si>
  <si>
    <t>ABCDE0064F</t>
  </si>
  <si>
    <t>ABCDE0065F</t>
  </si>
  <si>
    <t>ABCDE0066F</t>
  </si>
  <si>
    <t>ABCDE0067F</t>
  </si>
  <si>
    <t>ABCDE0068F</t>
  </si>
  <si>
    <t>ABCDE0069F</t>
  </si>
  <si>
    <t>ABCDE0070F</t>
  </si>
  <si>
    <t>ABCDE0071F</t>
  </si>
  <si>
    <t>ABCDE0072F</t>
  </si>
  <si>
    <t>ABCDE0073F</t>
  </si>
  <si>
    <t>ABCDE0074F</t>
  </si>
  <si>
    <t>ABCDE0075F</t>
  </si>
  <si>
    <t>ABCDE0076F</t>
  </si>
  <si>
    <t>ABCDE0077F</t>
  </si>
  <si>
    <t>ABCDE0078F</t>
  </si>
  <si>
    <t>ABCDE0079F</t>
  </si>
  <si>
    <t>ABCDE0080F</t>
  </si>
  <si>
    <t>ABCDE0081F</t>
  </si>
  <si>
    <t>ABCDE0082F</t>
  </si>
  <si>
    <t>ABCDE0083F</t>
  </si>
  <si>
    <t>ABCDE0084F</t>
  </si>
  <si>
    <t>ABCDE0085F</t>
  </si>
  <si>
    <t>ABCDE0086F</t>
  </si>
  <si>
    <t>ABCDE0087F</t>
  </si>
  <si>
    <t>ABCDE0088F</t>
  </si>
  <si>
    <t>ABCDE0089F</t>
  </si>
  <si>
    <t>ABCDE0090F</t>
  </si>
  <si>
    <t>ABCDE0091F</t>
  </si>
  <si>
    <t>ABCDE0092F</t>
  </si>
  <si>
    <t>ABCDE0093F</t>
  </si>
  <si>
    <t>ABCDE0094F</t>
  </si>
  <si>
    <t>ABCDE0095F</t>
  </si>
  <si>
    <t>ABCDE0096F</t>
  </si>
  <si>
    <t>ABCDE0097F</t>
  </si>
  <si>
    <t>ABCDE0098F</t>
  </si>
  <si>
    <t>ABCDE0099F</t>
  </si>
  <si>
    <t>Sales Tax</t>
  </si>
  <si>
    <t>Property Tax</t>
  </si>
  <si>
    <t>GST</t>
  </si>
  <si>
    <t>Income Tax</t>
  </si>
  <si>
    <t>Paid</t>
  </si>
  <si>
    <t>Overdue</t>
  </si>
  <si>
    <t>Pending</t>
  </si>
  <si>
    <t>2024-25</t>
  </si>
  <si>
    <t>2022-23</t>
  </si>
  <si>
    <t>2023-24</t>
  </si>
  <si>
    <t>2021-22</t>
  </si>
  <si>
    <t>Karnataka</t>
  </si>
  <si>
    <t>Rajasthan</t>
  </si>
  <si>
    <t>Delhi</t>
  </si>
  <si>
    <t>Tamil Nadu</t>
  </si>
  <si>
    <t>Kerala</t>
  </si>
  <si>
    <t>West Bengal</t>
  </si>
  <si>
    <t>Gujarat</t>
  </si>
  <si>
    <t>Maharashtra</t>
  </si>
  <si>
    <t>15-05-2025</t>
  </si>
  <si>
    <t>22-02-2025</t>
  </si>
  <si>
    <t>25-04-2024</t>
  </si>
  <si>
    <t>25-03-2025</t>
  </si>
  <si>
    <t>21-02-2025</t>
  </si>
  <si>
    <t>04-01-2025</t>
  </si>
  <si>
    <t>21-10-2024</t>
  </si>
  <si>
    <t>01-11-2023</t>
  </si>
  <si>
    <t>28-05-2024</t>
  </si>
  <si>
    <t>09-09-2024</t>
  </si>
  <si>
    <t>01-06-2024</t>
  </si>
  <si>
    <t>08-10-2023</t>
  </si>
  <si>
    <t>10-11-2023</t>
  </si>
  <si>
    <t>24-01-2024</t>
  </si>
  <si>
    <t>14-08-2023</t>
  </si>
  <si>
    <t>05-05-2025</t>
  </si>
  <si>
    <t>26-10-2024</t>
  </si>
  <si>
    <t>18-01-2024</t>
  </si>
  <si>
    <t>20-09-2024</t>
  </si>
  <si>
    <t>13-08-2023</t>
  </si>
  <si>
    <t>11-04-2025</t>
  </si>
  <si>
    <t>11-10-2023</t>
  </si>
  <si>
    <t>06-06-2024</t>
  </si>
  <si>
    <t>22-09-2024</t>
  </si>
  <si>
    <t>01-09-2024</t>
  </si>
  <si>
    <t>14-02-2024</t>
  </si>
  <si>
    <t>22-05-2024</t>
  </si>
  <si>
    <t>10-08-2024</t>
  </si>
  <si>
    <t>30-03-2024</t>
  </si>
  <si>
    <t>08-12-2024</t>
  </si>
  <si>
    <t>24-03-2024</t>
  </si>
  <si>
    <t>03-12-2024</t>
  </si>
  <si>
    <t>17-11-2023</t>
  </si>
  <si>
    <t>03-03-2025</t>
  </si>
  <si>
    <t>11-11-2023</t>
  </si>
  <si>
    <t>10-03-2025</t>
  </si>
  <si>
    <t>30-11-2024</t>
  </si>
  <si>
    <t>02-02-2025</t>
  </si>
  <si>
    <t>07-12-2024</t>
  </si>
  <si>
    <t>13-01-2025</t>
  </si>
  <si>
    <t>16-06-2023</t>
  </si>
  <si>
    <t>10-10-2024</t>
  </si>
  <si>
    <t>17-07-2023</t>
  </si>
  <si>
    <t>06-05-2024</t>
  </si>
  <si>
    <t>28-11-2023</t>
  </si>
  <si>
    <t>17-06-2023</t>
  </si>
  <si>
    <t>28-02-2024</t>
  </si>
  <si>
    <t>06-07-2023</t>
  </si>
  <si>
    <t>21-12-2023</t>
  </si>
  <si>
    <t>30-09-2024</t>
  </si>
  <si>
    <t>24-09-2024</t>
  </si>
  <si>
    <t>07-07-2024</t>
  </si>
  <si>
    <t>04-09-2023</t>
  </si>
  <si>
    <t>06-03-2025</t>
  </si>
  <si>
    <t>10-01-2025</t>
  </si>
  <si>
    <t>24-07-2023</t>
  </si>
  <si>
    <t>11-06-2023</t>
  </si>
  <si>
    <t>24-08-2023</t>
  </si>
  <si>
    <t>29-08-2023</t>
  </si>
  <si>
    <t>13-04-2024</t>
  </si>
  <si>
    <t>29-01-2025</t>
  </si>
  <si>
    <t>01-09-2023</t>
  </si>
  <si>
    <t>19-10-2023</t>
  </si>
  <si>
    <t>23-06-2024</t>
  </si>
  <si>
    <t>19-08-2024</t>
  </si>
  <si>
    <t>04-12-2024</t>
  </si>
  <si>
    <t>03-10-2024</t>
  </si>
  <si>
    <t>17-07-2024</t>
  </si>
  <si>
    <t>23-09-2023</t>
  </si>
  <si>
    <t>30-07-2024</t>
  </si>
  <si>
    <t>07-09-2023</t>
  </si>
  <si>
    <t>07-11-2024</t>
  </si>
  <si>
    <t>15-01-2024</t>
  </si>
  <si>
    <t>10-09-2023</t>
  </si>
  <si>
    <t>24-11-2024</t>
  </si>
  <si>
    <t>26-01-2025</t>
  </si>
  <si>
    <t>10-02-2025</t>
  </si>
  <si>
    <t>05-10-2024</t>
  </si>
  <si>
    <t>21-02-2024</t>
  </si>
  <si>
    <t>26-10-2023</t>
  </si>
  <si>
    <t>05-04-2025</t>
  </si>
  <si>
    <t>29-03-2024</t>
  </si>
  <si>
    <t>08-02-2024</t>
  </si>
  <si>
    <t>28-04-2025</t>
  </si>
  <si>
    <t>09-02-2024</t>
  </si>
  <si>
    <t>05-06-2024</t>
  </si>
  <si>
    <t>15-02-2025</t>
  </si>
  <si>
    <t>22-12-2024</t>
  </si>
  <si>
    <t>15-08-2023</t>
  </si>
  <si>
    <t>22-04-2025</t>
  </si>
  <si>
    <t>07-06-2024</t>
  </si>
  <si>
    <t>23-08-2023</t>
  </si>
  <si>
    <t>29-07-2024</t>
  </si>
  <si>
    <t>20-05-2023</t>
  </si>
  <si>
    <t>07-02-2024</t>
  </si>
  <si>
    <t>08-05-2025</t>
  </si>
  <si>
    <t>14-06-2023</t>
  </si>
  <si>
    <t>Row Labels</t>
  </si>
  <si>
    <t>Grand Total</t>
  </si>
  <si>
    <t>Column Labels</t>
  </si>
  <si>
    <t>Sum of Tax Amount</t>
  </si>
  <si>
    <t>Count of PAN</t>
  </si>
  <si>
    <t>1.Total Tax Amount by Tax Type and Status</t>
  </si>
  <si>
    <t>2.Total Tax Amount by State and Tax Type</t>
  </si>
  <si>
    <t>3.Count of Taxpayers by Assessment year and Tax Type</t>
  </si>
  <si>
    <t>6.Tax Collection per taxpayer</t>
  </si>
  <si>
    <t>4.Total Tax Amount by Month Year</t>
  </si>
  <si>
    <t>5.Total tax Amount by Status and Assessment Year</t>
  </si>
  <si>
    <t>7.Tax Amount by State and Status</t>
  </si>
  <si>
    <r>
      <t xml:space="preserve">
</t>
    </r>
    <r>
      <rPr>
        <sz val="11"/>
        <color theme="1"/>
        <rFont val="Calibri"/>
        <family val="2"/>
        <scheme val="minor"/>
      </rPr>
      <t xml:space="preserve">
</t>
    </r>
  </si>
  <si>
    <t xml:space="preserve"> </t>
  </si>
  <si>
    <t>Total tax Amount by tax Type and Status</t>
  </si>
  <si>
    <t>Total Tax Amount bys State and Tax Type</t>
  </si>
  <si>
    <t>Count of taxpayers by Assessment Year and Tax Type</t>
  </si>
  <si>
    <t>Total tax Amount by Status and Assessment year</t>
  </si>
  <si>
    <t>Tax Collection per Taxpayer</t>
  </si>
  <si>
    <t>Tax amount by state and Status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</si>
</sst>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4009]\ * #,##0.00_ ;_ [$₹-4009]\ * \-#,##0.00_ ;_ [$₹-4009]\ * &quot;-&quot;??_ ;_ @_ "/>
  </numFmts>
  <fonts count="4" x14ac:knownFonts="1">
    <font>
      <sz val="11"/>
      <color theme="1"/>
      <name val="Calibri"/>
      <family val="2"/>
      <scheme val="minor"/>
    </font>
    <font>
      <b/>
      <sz val="11"/>
      <color theme="1"/>
      <name val="Calibri"/>
      <family val="2"/>
      <scheme val="minor"/>
    </font>
    <font>
      <b/>
      <sz val="14"/>
      <color theme="3" tint="-0.249977111117893"/>
      <name val="Calibri"/>
      <family val="2"/>
      <scheme val="minor"/>
    </font>
    <font>
      <sz val="14"/>
      <color theme="1"/>
      <name val="Calibri"/>
      <family val="2"/>
      <scheme val="minor"/>
    </font>
  </fonts>
  <fills count="4">
    <fill>
      <patternFill patternType="none"/>
    </fill>
    <fill>
      <patternFill patternType="gray125"/>
    </fill>
    <fill>
      <patternFill patternType="solid">
        <fgColor rgb="FFD9D9D9"/>
        <bgColor indexed="64"/>
      </patternFill>
    </fill>
    <fill>
      <patternFill patternType="solid">
        <fgColor theme="3" tint="-0.249977111117893"/>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4">
    <xf numFmtId="0" fontId="0" fillId="0" borderId="0" xfId="0"/>
    <xf numFmtId="0" fontId="1" fillId="0" borderId="1" xfId="0" applyFont="1" applyBorder="1" applyAlignment="1">
      <alignment horizontal="center" vertical="top"/>
    </xf>
    <xf numFmtId="0" fontId="0" fillId="2" borderId="0" xfId="0" applyFill="1"/>
    <xf numFmtId="0" fontId="0" fillId="0" borderId="0" xfId="0" applyNumberFormat="1"/>
    <xf numFmtId="0" fontId="0" fillId="0" borderId="0" xfId="0" pivotButton="1"/>
    <xf numFmtId="0" fontId="0" fillId="0" borderId="0" xfId="0" applyAlignment="1">
      <alignment horizontal="left"/>
    </xf>
    <xf numFmtId="0" fontId="0" fillId="3" borderId="0" xfId="0" applyFill="1"/>
    <xf numFmtId="14" fontId="0" fillId="0" borderId="0" xfId="0" applyNumberFormat="1" applyAlignment="1">
      <alignment horizontal="left"/>
    </xf>
    <xf numFmtId="0" fontId="2" fillId="0" borderId="0" xfId="0" applyFont="1" applyAlignment="1">
      <alignment horizontal="left"/>
    </xf>
    <xf numFmtId="0" fontId="2" fillId="0" borderId="0" xfId="0" applyFont="1" applyAlignment="1">
      <alignment horizontal="center"/>
    </xf>
    <xf numFmtId="0" fontId="2" fillId="0" borderId="0" xfId="0" applyFont="1"/>
    <xf numFmtId="0" fontId="3" fillId="0" borderId="0" xfId="0" applyFont="1"/>
    <xf numFmtId="164" fontId="0" fillId="0" borderId="0" xfId="0" applyNumberFormat="1"/>
    <xf numFmtId="0" fontId="0" fillId="0" borderId="0" xfId="0" applyAlignment="1">
      <alignment wrapText="1"/>
    </xf>
  </cellXfs>
  <cellStyles count="1">
    <cellStyle name="Normal" xfId="0" builtinId="0"/>
  </cellStyles>
  <dxfs count="16">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
      <numFmt numFmtId="164" formatCode="_ [$₹-4009]\ * #,##0.00_ ;_ [$₹-4009]\ * \-#,##0.00_ ;_ [$₹-4009]\ * &quot;-&quot;??_ ;_ @_ "/>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[final_tax_data_with_names.xlsm]Pivot!PivotTable9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Pivot!$K$61</c:f>
              <c:strCache>
                <c:ptCount val="1"/>
                <c:pt idx="0">
                  <c:v>Total</c:v>
                </c:pt>
              </c:strCache>
            </c:strRef>
          </c:tx>
          <c:spPr>
            <a:solidFill>
              <a:schemeClr val="accent1"/>
            </a:solidFill>
            <a:ln>
              <a:noFill/>
            </a:ln>
            <a:effectLst/>
          </c:spPr>
          <c:invertIfNegative val="0"/>
          <c:cat>
            <c:strRef>
              <c:f>Pivot!$J$62:$J$64</c:f>
              <c:strCache>
                <c:ptCount val="2"/>
                <c:pt idx="0">
                  <c:v>Arun Sharma</c:v>
                </c:pt>
                <c:pt idx="1">
                  <c:v>Meena Patel</c:v>
                </c:pt>
              </c:strCache>
            </c:strRef>
          </c:cat>
          <c:val>
            <c:numRef>
              <c:f>Pivot!$K$62:$K$64</c:f>
              <c:numCache>
                <c:formatCode>_ [$₹-4009]\ * #,##0.00_ ;_ [$₹-4009]\ * \-#,##0.00_ ;_ [$₹-4009]\ * "-"??_ ;_ @_ </c:formatCode>
                <c:ptCount val="2"/>
                <c:pt idx="0">
                  <c:v>86941.33</c:v>
                </c:pt>
                <c:pt idx="1">
                  <c:v>17424.68</c:v>
                </c:pt>
              </c:numCache>
            </c:numRef>
          </c:val>
        </c:ser>
        <c:dLbls>
          <c:showLegendKey val="0"/>
          <c:showVal val="0"/>
          <c:showCatName val="0"/>
          <c:showSerName val="0"/>
          <c:showPercent val="0"/>
          <c:showBubbleSize val="0"/>
        </c:dLbls>
        <c:gapWidth val="219"/>
        <c:overlap val="-27"/>
        <c:axId val="334956080"/>
        <c:axId val="334947376"/>
      </c:barChart>
      <c:catAx>
        <c:axId val="33495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947376"/>
        <c:crosses val="autoZero"/>
        <c:auto val="1"/>
        <c:lblAlgn val="ctr"/>
        <c:lblOffset val="100"/>
        <c:noMultiLvlLbl val="0"/>
      </c:catAx>
      <c:valAx>
        <c:axId val="334947376"/>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956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[final_tax_data_with_names.xlsm]Pivot!PivotTable1</c:name>
    <c:fmtId val="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8"/>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2.324352879027998E-2"/>
          <c:y val="0.11390284757118928"/>
          <c:w val="0.84052493438320208"/>
          <c:h val="0.76416571044197379"/>
        </c:manualLayout>
      </c:layout>
      <c:barChart>
        <c:barDir val="col"/>
        <c:grouping val="clustered"/>
        <c:varyColors val="0"/>
        <c:ser>
          <c:idx val="0"/>
          <c:order val="0"/>
          <c:tx>
            <c:strRef>
              <c:f>Pivot!$B$3:$B$4</c:f>
              <c:strCache>
                <c:ptCount val="1"/>
                <c:pt idx="0">
                  <c:v>Overdue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Pivot!$A$5:$A$8</c:f>
              <c:strCache>
                <c:ptCount val="3"/>
                <c:pt idx="0">
                  <c:v>GST</c:v>
                </c:pt>
                <c:pt idx="1">
                  <c:v>Income Tax</c:v>
                </c:pt>
                <c:pt idx="2">
                  <c:v>Property Tax</c:v>
                </c:pt>
              </c:strCache>
            </c:strRef>
          </c:cat>
          <c:val>
            <c:numRef>
              <c:f>Pivot!$B$5:$B$8</c:f>
              <c:numCache>
                <c:formatCode>_ [$₹-4009]\ * #,##0.00_ ;_ [$₹-4009]\ * \-#,##0.00_ ;_ [$₹-4009]\ * "-"??_ ;_ @_ </c:formatCode>
                <c:ptCount val="3"/>
                <c:pt idx="0">
                  <c:v>48355.57</c:v>
                </c:pt>
              </c:numCache>
            </c:numRef>
          </c:val>
        </c:ser>
        <c:ser>
          <c:idx val="1"/>
          <c:order val="1"/>
          <c:tx>
            <c:strRef>
              <c:f>Pivot!$C$3:$C$4</c:f>
              <c:strCache>
                <c:ptCount val="1"/>
                <c:pt idx="0">
                  <c:v>Paid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Pivot!$A$5:$A$8</c:f>
              <c:strCache>
                <c:ptCount val="3"/>
                <c:pt idx="0">
                  <c:v>GST</c:v>
                </c:pt>
                <c:pt idx="1">
                  <c:v>Income Tax</c:v>
                </c:pt>
                <c:pt idx="2">
                  <c:v>Property Tax</c:v>
                </c:pt>
              </c:strCache>
            </c:strRef>
          </c:cat>
          <c:val>
            <c:numRef>
              <c:f>Pivot!$C$5:$C$8</c:f>
              <c:numCache>
                <c:formatCode>_ [$₹-4009]\ * #,##0.00_ ;_ [$₹-4009]\ * \-#,##0.00_ ;_ [$₹-4009]\ * "-"??_ ;_ @_ </c:formatCode>
                <c:ptCount val="3"/>
                <c:pt idx="1">
                  <c:v>17424.68</c:v>
                </c:pt>
              </c:numCache>
            </c:numRef>
          </c:val>
        </c:ser>
        <c:ser>
          <c:idx val="2"/>
          <c:order val="2"/>
          <c:tx>
            <c:strRef>
              <c:f>Pivot!$D$3:$D$4</c:f>
              <c:strCache>
                <c:ptCount val="1"/>
                <c:pt idx="0">
                  <c:v>Pending</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Pivot!$A$5:$A$8</c:f>
              <c:strCache>
                <c:ptCount val="3"/>
                <c:pt idx="0">
                  <c:v>GST</c:v>
                </c:pt>
                <c:pt idx="1">
                  <c:v>Income Tax</c:v>
                </c:pt>
                <c:pt idx="2">
                  <c:v>Property Tax</c:v>
                </c:pt>
              </c:strCache>
            </c:strRef>
          </c:cat>
          <c:val>
            <c:numRef>
              <c:f>Pivot!$D$5:$D$8</c:f>
              <c:numCache>
                <c:formatCode>_ [$₹-4009]\ * #,##0.00_ ;_ [$₹-4009]\ * \-#,##0.00_ ;_ [$₹-4009]\ * "-"??_ ;_ @_ </c:formatCode>
                <c:ptCount val="3"/>
                <c:pt idx="2">
                  <c:v>38585.760000000002</c:v>
                </c:pt>
              </c:numCache>
            </c:numRef>
          </c:val>
        </c:ser>
        <c:dLbls>
          <c:dLblPos val="outEnd"/>
          <c:showLegendKey val="0"/>
          <c:showVal val="1"/>
          <c:showCatName val="0"/>
          <c:showSerName val="0"/>
          <c:showPercent val="0"/>
          <c:showBubbleSize val="0"/>
        </c:dLbls>
        <c:gapWidth val="219"/>
        <c:overlap val="-27"/>
        <c:axId val="334950640"/>
        <c:axId val="334958800"/>
      </c:barChart>
      <c:catAx>
        <c:axId val="334950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958800"/>
        <c:crosses val="autoZero"/>
        <c:auto val="1"/>
        <c:lblAlgn val="ctr"/>
        <c:lblOffset val="100"/>
        <c:noMultiLvlLbl val="0"/>
      </c:catAx>
      <c:valAx>
        <c:axId val="334958800"/>
        <c:scaling>
          <c:orientation val="minMax"/>
        </c:scaling>
        <c:delete val="1"/>
        <c:axPos val="l"/>
        <c:numFmt formatCode="_ [$₹-4009]\ * #,##0.00_ ;_ [$₹-4009]\ * \-#,##0.00_ ;_ [$₹-4009]\ * &quot;-&quot;??_ ;_ @_ " sourceLinked="1"/>
        <c:majorTickMark val="out"/>
        <c:minorTickMark val="none"/>
        <c:tickLblPos val="nextTo"/>
        <c:crossAx val="33495064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[final_tax_data_with_names.xlsm]Pivot!PivotTable2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54661453763292"/>
          <c:y val="0.12768817204301075"/>
          <c:w val="0.8220455179675431"/>
          <c:h val="0.85215053763440862"/>
        </c:manualLayout>
      </c:layout>
      <c:barChart>
        <c:barDir val="bar"/>
        <c:grouping val="clustered"/>
        <c:varyColors val="0"/>
        <c:ser>
          <c:idx val="0"/>
          <c:order val="0"/>
          <c:tx>
            <c:strRef>
              <c:f>Pivot!$B$15:$B$16</c:f>
              <c:strCache>
                <c:ptCount val="1"/>
                <c:pt idx="0">
                  <c:v>GST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Pivot!$A$17:$A$18</c:f>
              <c:strCache>
                <c:ptCount val="1"/>
                <c:pt idx="0">
                  <c:v>Gujarat</c:v>
                </c:pt>
              </c:strCache>
            </c:strRef>
          </c:cat>
          <c:val>
            <c:numRef>
              <c:f>Pivot!$B$17:$B$18</c:f>
              <c:numCache>
                <c:formatCode>_ [$₹-4009]\ * #,##0.00_ ;_ [$₹-4009]\ * \-#,##0.00_ ;_ [$₹-4009]\ * "-"??_ ;_ @_ </c:formatCode>
                <c:ptCount val="1"/>
                <c:pt idx="0">
                  <c:v>48355.57</c:v>
                </c:pt>
              </c:numCache>
            </c:numRef>
          </c:val>
        </c:ser>
        <c:ser>
          <c:idx val="1"/>
          <c:order val="1"/>
          <c:tx>
            <c:strRef>
              <c:f>Pivot!$C$15:$C$16</c:f>
              <c:strCache>
                <c:ptCount val="1"/>
                <c:pt idx="0">
                  <c:v>Income Tax</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Pivot!$A$17:$A$18</c:f>
              <c:strCache>
                <c:ptCount val="1"/>
                <c:pt idx="0">
                  <c:v>Gujarat</c:v>
                </c:pt>
              </c:strCache>
            </c:strRef>
          </c:cat>
          <c:val>
            <c:numRef>
              <c:f>Pivot!$C$17:$C$18</c:f>
              <c:numCache>
                <c:formatCode>_ [$₹-4009]\ * #,##0.00_ ;_ [$₹-4009]\ * \-#,##0.00_ ;_ [$₹-4009]\ * "-"??_ ;_ @_ </c:formatCode>
                <c:ptCount val="1"/>
                <c:pt idx="0">
                  <c:v>17424.68</c:v>
                </c:pt>
              </c:numCache>
            </c:numRef>
          </c:val>
        </c:ser>
        <c:ser>
          <c:idx val="2"/>
          <c:order val="2"/>
          <c:tx>
            <c:strRef>
              <c:f>Pivot!$D$15:$D$16</c:f>
              <c:strCache>
                <c:ptCount val="1"/>
                <c:pt idx="0">
                  <c:v>Property Tax</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Pivot!$A$17:$A$18</c:f>
              <c:strCache>
                <c:ptCount val="1"/>
                <c:pt idx="0">
                  <c:v>Gujarat</c:v>
                </c:pt>
              </c:strCache>
            </c:strRef>
          </c:cat>
          <c:val>
            <c:numRef>
              <c:f>Pivot!$D$17:$D$18</c:f>
              <c:numCache>
                <c:formatCode>_ [$₹-4009]\ * #,##0.00_ ;_ [$₹-4009]\ * \-#,##0.00_ ;_ [$₹-4009]\ * "-"??_ ;_ @_ </c:formatCode>
                <c:ptCount val="1"/>
                <c:pt idx="0">
                  <c:v>38585.760000000002</c:v>
                </c:pt>
              </c:numCache>
            </c:numRef>
          </c:val>
        </c:ser>
        <c:dLbls>
          <c:dLblPos val="inEnd"/>
          <c:showLegendKey val="0"/>
          <c:showVal val="1"/>
          <c:showCatName val="0"/>
          <c:showSerName val="0"/>
          <c:showPercent val="0"/>
          <c:showBubbleSize val="0"/>
        </c:dLbls>
        <c:gapWidth val="182"/>
        <c:axId val="334852960"/>
        <c:axId val="334853504"/>
      </c:barChart>
      <c:catAx>
        <c:axId val="334852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53504"/>
        <c:crosses val="autoZero"/>
        <c:auto val="1"/>
        <c:lblAlgn val="ctr"/>
        <c:lblOffset val="100"/>
        <c:noMultiLvlLbl val="0"/>
      </c:catAx>
      <c:valAx>
        <c:axId val="334853504"/>
        <c:scaling>
          <c:orientation val="minMax"/>
        </c:scaling>
        <c:delete val="1"/>
        <c:axPos val="b"/>
        <c:numFmt formatCode="_ [$₹-4009]\ * #,##0.00_ ;_ [$₹-4009]\ * \-#,##0.00_ ;_ [$₹-4009]\ * &quot;-&quot;??_ ;_ @_ " sourceLinked="1"/>
        <c:majorTickMark val="none"/>
        <c:minorTickMark val="none"/>
        <c:tickLblPos val="nextTo"/>
        <c:crossAx val="334852960"/>
        <c:crosses val="autoZero"/>
        <c:crossBetween val="between"/>
      </c:valAx>
      <c:spPr>
        <a:noFill/>
        <a:ln>
          <a:noFill/>
        </a:ln>
        <a:effectLst/>
      </c:spPr>
    </c:plotArea>
    <c:legend>
      <c:legendPos val="r"/>
      <c:layout>
        <c:manualLayout>
          <c:xMode val="edge"/>
          <c:yMode val="edge"/>
          <c:x val="0.83804230353558751"/>
          <c:y val="0.75621560409787492"/>
          <c:w val="0.1522146688185716"/>
          <c:h val="0.243784395902125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[final_tax_data_with_names.xlsm]Pivot!PivotTable3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barChart>
        <c:barDir val="col"/>
        <c:grouping val="clustered"/>
        <c:varyColors val="0"/>
        <c:ser>
          <c:idx val="0"/>
          <c:order val="0"/>
          <c:tx>
            <c:strRef>
              <c:f>Pivot!$B$31:$B$32</c:f>
              <c:strCache>
                <c:ptCount val="1"/>
                <c:pt idx="0">
                  <c:v>GST</c:v>
                </c:pt>
              </c:strCache>
            </c:strRef>
          </c:tx>
          <c:spPr>
            <a:solidFill>
              <a:schemeClr val="accent1"/>
            </a:solidFill>
            <a:ln>
              <a:noFill/>
            </a:ln>
            <a:effectLst/>
          </c:spPr>
          <c:invertIfNegative val="0"/>
          <c:cat>
            <c:strRef>
              <c:f>Pivot!$A$33:$A$34</c:f>
              <c:strCache>
                <c:ptCount val="1"/>
                <c:pt idx="0">
                  <c:v>2022-23</c:v>
                </c:pt>
              </c:strCache>
            </c:strRef>
          </c:cat>
          <c:val>
            <c:numRef>
              <c:f>Pivot!$B$33:$B$34</c:f>
              <c:numCache>
                <c:formatCode>General</c:formatCode>
                <c:ptCount val="1"/>
                <c:pt idx="0">
                  <c:v>1</c:v>
                </c:pt>
              </c:numCache>
            </c:numRef>
          </c:val>
        </c:ser>
        <c:ser>
          <c:idx val="1"/>
          <c:order val="1"/>
          <c:tx>
            <c:strRef>
              <c:f>Pivot!$C$31:$C$32</c:f>
              <c:strCache>
                <c:ptCount val="1"/>
                <c:pt idx="0">
                  <c:v>Income Tax</c:v>
                </c:pt>
              </c:strCache>
            </c:strRef>
          </c:tx>
          <c:spPr>
            <a:solidFill>
              <a:schemeClr val="accent2"/>
            </a:solidFill>
            <a:ln>
              <a:noFill/>
            </a:ln>
            <a:effectLst/>
          </c:spPr>
          <c:invertIfNegative val="0"/>
          <c:cat>
            <c:strRef>
              <c:f>Pivot!$A$33:$A$34</c:f>
              <c:strCache>
                <c:ptCount val="1"/>
                <c:pt idx="0">
                  <c:v>2022-23</c:v>
                </c:pt>
              </c:strCache>
            </c:strRef>
          </c:cat>
          <c:val>
            <c:numRef>
              <c:f>Pivot!$C$33:$C$34</c:f>
              <c:numCache>
                <c:formatCode>General</c:formatCode>
                <c:ptCount val="1"/>
                <c:pt idx="0">
                  <c:v>1</c:v>
                </c:pt>
              </c:numCache>
            </c:numRef>
          </c:val>
        </c:ser>
        <c:ser>
          <c:idx val="2"/>
          <c:order val="2"/>
          <c:tx>
            <c:strRef>
              <c:f>Pivot!$D$31:$D$32</c:f>
              <c:strCache>
                <c:ptCount val="1"/>
                <c:pt idx="0">
                  <c:v>Property Tax</c:v>
                </c:pt>
              </c:strCache>
            </c:strRef>
          </c:tx>
          <c:spPr>
            <a:solidFill>
              <a:schemeClr val="accent3"/>
            </a:solidFill>
            <a:ln>
              <a:noFill/>
            </a:ln>
            <a:effectLst/>
          </c:spPr>
          <c:invertIfNegative val="0"/>
          <c:cat>
            <c:strRef>
              <c:f>Pivot!$A$33:$A$34</c:f>
              <c:strCache>
                <c:ptCount val="1"/>
                <c:pt idx="0">
                  <c:v>2022-23</c:v>
                </c:pt>
              </c:strCache>
            </c:strRef>
          </c:cat>
          <c:val>
            <c:numRef>
              <c:f>Pivot!$D$33:$D$34</c:f>
              <c:numCache>
                <c:formatCode>General</c:formatCode>
                <c:ptCount val="1"/>
                <c:pt idx="0">
                  <c:v>1</c:v>
                </c:pt>
              </c:numCache>
            </c:numRef>
          </c:val>
        </c:ser>
        <c:dLbls>
          <c:showLegendKey val="0"/>
          <c:showVal val="0"/>
          <c:showCatName val="0"/>
          <c:showSerName val="0"/>
          <c:showPercent val="0"/>
          <c:showBubbleSize val="0"/>
        </c:dLbls>
        <c:gapWidth val="219"/>
        <c:overlap val="-27"/>
        <c:axId val="554521712"/>
        <c:axId val="554524432"/>
      </c:barChart>
      <c:catAx>
        <c:axId val="55452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524432"/>
        <c:crosses val="autoZero"/>
        <c:auto val="1"/>
        <c:lblAlgn val="ctr"/>
        <c:lblOffset val="100"/>
        <c:noMultiLvlLbl val="0"/>
      </c:catAx>
      <c:valAx>
        <c:axId val="554524432"/>
        <c:scaling>
          <c:orientation val="minMax"/>
        </c:scaling>
        <c:delete val="1"/>
        <c:axPos val="l"/>
        <c:numFmt formatCode="General" sourceLinked="1"/>
        <c:majorTickMark val="none"/>
        <c:minorTickMark val="none"/>
        <c:tickLblPos val="nextTo"/>
        <c:crossAx val="5545217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[final_tax_data_with_names.xlsm]Pivot!PivotTable4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baseline="0">
                <a:solidFill>
                  <a:schemeClr val="tx2">
                    <a:lumMod val="75000"/>
                  </a:schemeClr>
                </a:solidFill>
                <a:effectLst/>
              </a:rPr>
              <a:t>Total Tax Amount by Month Year</a:t>
            </a:r>
            <a:r>
              <a:rPr lang="en-IN" sz="1200" b="1" i="0" u="none" strike="noStrike" baseline="0">
                <a:solidFill>
                  <a:schemeClr val="tx2">
                    <a:lumMod val="75000"/>
                  </a:schemeClr>
                </a:solidFill>
              </a:rPr>
              <a:t> </a:t>
            </a:r>
            <a:endParaRPr lang="en-US" sz="1200" b="1">
              <a:solidFill>
                <a:schemeClr val="tx2">
                  <a:lumMod val="75000"/>
                </a:schemeClr>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Pivot!$K$3</c:f>
              <c:strCache>
                <c:ptCount val="1"/>
                <c:pt idx="0">
                  <c:v>Total</c:v>
                </c:pt>
              </c:strCache>
            </c:strRef>
          </c:tx>
          <c:spPr>
            <a:ln w="28575" cap="rnd">
              <a:solidFill>
                <a:schemeClr val="accent1"/>
              </a:solidFill>
              <a:round/>
            </a:ln>
            <a:effectLst/>
          </c:spPr>
          <c:marker>
            <c:symbol val="none"/>
          </c:marker>
          <c:cat>
            <c:strRef>
              <c:f>Pivot!$J$4:$J$6</c:f>
              <c:strCache>
                <c:ptCount val="2"/>
                <c:pt idx="0">
                  <c:v>01-10-2023</c:v>
                </c:pt>
                <c:pt idx="1">
                  <c:v>01-07-2024</c:v>
                </c:pt>
              </c:strCache>
            </c:strRef>
          </c:cat>
          <c:val>
            <c:numRef>
              <c:f>Pivot!$K$4:$K$6</c:f>
              <c:numCache>
                <c:formatCode>_ [$₹-4009]\ * #,##0.00_ ;_ [$₹-4009]\ * \-#,##0.00_ ;_ [$₹-4009]\ * "-"??_ ;_ @_ </c:formatCode>
                <c:ptCount val="2"/>
                <c:pt idx="0">
                  <c:v>65780.25</c:v>
                </c:pt>
                <c:pt idx="1">
                  <c:v>38585.760000000002</c:v>
                </c:pt>
              </c:numCache>
            </c:numRef>
          </c:val>
          <c:smooth val="0"/>
        </c:ser>
        <c:dLbls>
          <c:showLegendKey val="0"/>
          <c:showVal val="0"/>
          <c:showCatName val="0"/>
          <c:showSerName val="0"/>
          <c:showPercent val="0"/>
          <c:showBubbleSize val="0"/>
        </c:dLbls>
        <c:smooth val="0"/>
        <c:axId val="554523344"/>
        <c:axId val="554529328"/>
      </c:lineChart>
      <c:catAx>
        <c:axId val="55452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529328"/>
        <c:crosses val="autoZero"/>
        <c:auto val="1"/>
        <c:lblAlgn val="ctr"/>
        <c:lblOffset val="100"/>
        <c:noMultiLvlLbl val="0"/>
      </c:catAx>
      <c:valAx>
        <c:axId val="554529328"/>
        <c:scaling>
          <c:orientation val="minMax"/>
        </c:scaling>
        <c:delete val="1"/>
        <c:axPos val="l"/>
        <c:numFmt formatCode="_ [$₹-4009]\ * #,##0.00_ ;_ [$₹-4009]\ * \-#,##0.00_ ;_ [$₹-4009]\ * &quot;-&quot;??_ ;_ @_ " sourceLinked="1"/>
        <c:majorTickMark val="none"/>
        <c:minorTickMark val="none"/>
        <c:tickLblPos val="nextTo"/>
        <c:crossAx val="5545233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[final_tax_data_with_names.xlsm]Pivot!PivotTable5</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pivotFmt>
      <c:pivotFmt>
        <c:idx val="1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86389075442131E-2"/>
          <c:y val="0.25870646766169153"/>
          <c:w val="0.89253828160667292"/>
          <c:h val="0.54097334848069367"/>
        </c:manualLayout>
      </c:layout>
      <c:barChart>
        <c:barDir val="col"/>
        <c:grouping val="clustered"/>
        <c:varyColors val="0"/>
        <c:ser>
          <c:idx val="0"/>
          <c:order val="0"/>
          <c:tx>
            <c:strRef>
              <c:f>Pivot!$K$37:$K$38</c:f>
              <c:strCache>
                <c:ptCount val="1"/>
                <c:pt idx="0">
                  <c:v>2022-23</c:v>
                </c:pt>
              </c:strCache>
            </c:strRef>
          </c:tx>
          <c:spPr>
            <a:solidFill>
              <a:schemeClr val="accent1"/>
            </a:solidFill>
            <a:ln>
              <a:noFill/>
            </a:ln>
            <a:effectLst/>
          </c:spPr>
          <c:invertIfNegative val="0"/>
          <c:dPt>
            <c:idx val="0"/>
            <c:invertIfNegative val="0"/>
            <c:bubble3D val="0"/>
          </c:dPt>
          <c:dPt>
            <c:idx val="1"/>
            <c:invertIfNegative val="0"/>
            <c:bubble3D val="0"/>
            <c:spPr>
              <a:solidFill>
                <a:schemeClr val="accent2"/>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Pivot!$J$39:$J$42</c:f>
              <c:strCache>
                <c:ptCount val="3"/>
                <c:pt idx="0">
                  <c:v>Overdue</c:v>
                </c:pt>
                <c:pt idx="1">
                  <c:v>Paid</c:v>
                </c:pt>
                <c:pt idx="2">
                  <c:v>Pending</c:v>
                </c:pt>
              </c:strCache>
            </c:strRef>
          </c:cat>
          <c:val>
            <c:numRef>
              <c:f>Pivot!$K$39:$K$42</c:f>
              <c:numCache>
                <c:formatCode>_ [$₹-4009]\ * #,##0.00_ ;_ [$₹-4009]\ * \-#,##0.00_ ;_ [$₹-4009]\ * "-"??_ ;_ @_ </c:formatCode>
                <c:ptCount val="3"/>
                <c:pt idx="0">
                  <c:v>48355.57</c:v>
                </c:pt>
                <c:pt idx="1">
                  <c:v>17424.68</c:v>
                </c:pt>
                <c:pt idx="2">
                  <c:v>38585.760000000002</c:v>
                </c:pt>
              </c:numCache>
            </c:numRef>
          </c:val>
        </c:ser>
        <c:dLbls>
          <c:dLblPos val="outEnd"/>
          <c:showLegendKey val="0"/>
          <c:showVal val="1"/>
          <c:showCatName val="0"/>
          <c:showSerName val="0"/>
          <c:showPercent val="0"/>
          <c:showBubbleSize val="0"/>
        </c:dLbls>
        <c:gapWidth val="219"/>
        <c:overlap val="-27"/>
        <c:axId val="554530960"/>
        <c:axId val="554528784"/>
      </c:barChart>
      <c:catAx>
        <c:axId val="55453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528784"/>
        <c:crosses val="autoZero"/>
        <c:auto val="1"/>
        <c:lblAlgn val="ctr"/>
        <c:lblOffset val="100"/>
        <c:noMultiLvlLbl val="0"/>
      </c:catAx>
      <c:valAx>
        <c:axId val="554528784"/>
        <c:scaling>
          <c:orientation val="minMax"/>
        </c:scaling>
        <c:delete val="1"/>
        <c:axPos val="l"/>
        <c:numFmt formatCode="_ [$₹-4009]\ * #,##0.00_ ;_ [$₹-4009]\ * \-#,##0.00_ ;_ [$₹-4009]\ * &quot;-&quot;??_ ;_ @_ " sourceLinked="1"/>
        <c:majorTickMark val="none"/>
        <c:minorTickMark val="none"/>
        <c:tickLblPos val="nextTo"/>
        <c:crossAx val="5545309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[final_tax_data_with_names.xlsm]Pivot!PivotTable6</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clustered"/>
        <c:varyColors val="0"/>
        <c:ser>
          <c:idx val="0"/>
          <c:order val="0"/>
          <c:tx>
            <c:strRef>
              <c:f>Pivot!$B$43</c:f>
              <c:strCache>
                <c:ptCount val="1"/>
                <c:pt idx="0">
                  <c:v>Total</c:v>
                </c:pt>
              </c:strCache>
            </c:strRef>
          </c:tx>
          <c:spPr>
            <a:solidFill>
              <a:schemeClr val="accent1"/>
            </a:solidFill>
            <a:ln>
              <a:noFill/>
            </a:ln>
            <a:effectLst/>
          </c:spPr>
          <c:invertIfNegative val="0"/>
          <c:cat>
            <c:strRef>
              <c:f>Pivot!$A$44:$A$46</c:f>
              <c:strCache>
                <c:ptCount val="2"/>
                <c:pt idx="0">
                  <c:v>Arun Sharma</c:v>
                </c:pt>
                <c:pt idx="1">
                  <c:v>Meena Patel</c:v>
                </c:pt>
              </c:strCache>
            </c:strRef>
          </c:cat>
          <c:val>
            <c:numRef>
              <c:f>Pivot!$B$44:$B$46</c:f>
              <c:numCache>
                <c:formatCode>_ [$₹-4009]\ * #,##0.00_ ;_ [$₹-4009]\ * \-#,##0.00_ ;_ [$₹-4009]\ * "-"??_ ;_ @_ </c:formatCode>
                <c:ptCount val="2"/>
                <c:pt idx="0">
                  <c:v>86941.33</c:v>
                </c:pt>
                <c:pt idx="1">
                  <c:v>17424.68</c:v>
                </c:pt>
              </c:numCache>
            </c:numRef>
          </c:val>
        </c:ser>
        <c:dLbls>
          <c:showLegendKey val="0"/>
          <c:showVal val="0"/>
          <c:showCatName val="0"/>
          <c:showSerName val="0"/>
          <c:showPercent val="0"/>
          <c:showBubbleSize val="0"/>
        </c:dLbls>
        <c:gapWidth val="182"/>
        <c:axId val="554522800"/>
        <c:axId val="554530416"/>
      </c:barChart>
      <c:catAx>
        <c:axId val="554522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530416"/>
        <c:crosses val="autoZero"/>
        <c:auto val="1"/>
        <c:lblAlgn val="ctr"/>
        <c:lblOffset val="100"/>
        <c:noMultiLvlLbl val="0"/>
      </c:catAx>
      <c:valAx>
        <c:axId val="554530416"/>
        <c:scaling>
          <c:orientation val="minMax"/>
        </c:scaling>
        <c:delete val="0"/>
        <c:axPos val="b"/>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5228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200025</xdr:colOff>
      <xdr:row>58</xdr:row>
      <xdr:rowOff>23811</xdr:rowOff>
    </xdr:from>
    <xdr:to>
      <xdr:col>18</xdr:col>
      <xdr:colOff>238125</xdr:colOff>
      <xdr:row>74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4</xdr:row>
      <xdr:rowOff>0</xdr:rowOff>
    </xdr:from>
    <xdr:to>
      <xdr:col>4</xdr:col>
      <xdr:colOff>95250</xdr:colOff>
      <xdr:row>7</xdr:row>
      <xdr:rowOff>114300</xdr:rowOff>
    </xdr:to>
    <xdr:sp macro="" textlink="">
      <xdr:nvSpPr>
        <xdr:cNvPr id="2" name="Card 1"/>
        <xdr:cNvSpPr/>
      </xdr:nvSpPr>
      <xdr:spPr>
        <a:xfrm>
          <a:off x="152400" y="762000"/>
          <a:ext cx="2381250" cy="6858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304799</xdr:colOff>
      <xdr:row>4</xdr:row>
      <xdr:rowOff>28575</xdr:rowOff>
    </xdr:from>
    <xdr:to>
      <xdr:col>7</xdr:col>
      <xdr:colOff>581024</xdr:colOff>
      <xdr:row>7</xdr:row>
      <xdr:rowOff>142875</xdr:rowOff>
    </xdr:to>
    <xdr:sp macro="" textlink="">
      <xdr:nvSpPr>
        <xdr:cNvPr id="3" name="Card 2"/>
        <xdr:cNvSpPr/>
      </xdr:nvSpPr>
      <xdr:spPr>
        <a:xfrm>
          <a:off x="2743199" y="790575"/>
          <a:ext cx="2105025" cy="6858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114300</xdr:colOff>
      <xdr:row>4</xdr:row>
      <xdr:rowOff>0</xdr:rowOff>
    </xdr:from>
    <xdr:to>
      <xdr:col>11</xdr:col>
      <xdr:colOff>381000</xdr:colOff>
      <xdr:row>7</xdr:row>
      <xdr:rowOff>114300</xdr:rowOff>
    </xdr:to>
    <xdr:sp macro="" textlink="">
      <xdr:nvSpPr>
        <xdr:cNvPr id="4" name="Card 3"/>
        <xdr:cNvSpPr/>
      </xdr:nvSpPr>
      <xdr:spPr>
        <a:xfrm>
          <a:off x="4991100" y="762000"/>
          <a:ext cx="2095500" cy="6858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523875</xdr:colOff>
      <xdr:row>4</xdr:row>
      <xdr:rowOff>0</xdr:rowOff>
    </xdr:from>
    <xdr:to>
      <xdr:col>15</xdr:col>
      <xdr:colOff>295275</xdr:colOff>
      <xdr:row>7</xdr:row>
      <xdr:rowOff>114300</xdr:rowOff>
    </xdr:to>
    <xdr:sp macro="" textlink="">
      <xdr:nvSpPr>
        <xdr:cNvPr id="5" name="Card 4"/>
        <xdr:cNvSpPr/>
      </xdr:nvSpPr>
      <xdr:spPr>
        <a:xfrm>
          <a:off x="7229475" y="762000"/>
          <a:ext cx="2209800" cy="6858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447675</xdr:colOff>
      <xdr:row>4</xdr:row>
      <xdr:rowOff>0</xdr:rowOff>
    </xdr:from>
    <xdr:to>
      <xdr:col>19</xdr:col>
      <xdr:colOff>114299</xdr:colOff>
      <xdr:row>7</xdr:row>
      <xdr:rowOff>114300</xdr:rowOff>
    </xdr:to>
    <xdr:sp macro="" textlink="">
      <xdr:nvSpPr>
        <xdr:cNvPr id="6" name="Card 5"/>
        <xdr:cNvSpPr/>
      </xdr:nvSpPr>
      <xdr:spPr>
        <a:xfrm>
          <a:off x="9591675" y="762000"/>
          <a:ext cx="2105024" cy="68580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209550</xdr:colOff>
      <xdr:row>4</xdr:row>
      <xdr:rowOff>19050</xdr:rowOff>
    </xdr:from>
    <xdr:to>
      <xdr:col>22</xdr:col>
      <xdr:colOff>259080</xdr:colOff>
      <xdr:row>29</xdr:row>
      <xdr:rowOff>102870</xdr:rowOff>
    </xdr:to>
    <xdr:sp macro="" textlink="">
      <xdr:nvSpPr>
        <xdr:cNvPr id="7" name="Card 6"/>
        <xdr:cNvSpPr/>
      </xdr:nvSpPr>
      <xdr:spPr>
        <a:xfrm>
          <a:off x="11791950" y="781050"/>
          <a:ext cx="1878330" cy="484632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157387</xdr:colOff>
      <xdr:row>8</xdr:row>
      <xdr:rowOff>76200</xdr:rowOff>
    </xdr:from>
    <xdr:to>
      <xdr:col>10</xdr:col>
      <xdr:colOff>96427</xdr:colOff>
      <xdr:row>18</xdr:row>
      <xdr:rowOff>91440</xdr:rowOff>
    </xdr:to>
    <xdr:sp macro="" textlink="">
      <xdr:nvSpPr>
        <xdr:cNvPr id="8" name="Card 7"/>
        <xdr:cNvSpPr/>
      </xdr:nvSpPr>
      <xdr:spPr>
        <a:xfrm>
          <a:off x="157387" y="1592221"/>
          <a:ext cx="6023071" cy="1910266"/>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243840</xdr:colOff>
      <xdr:row>8</xdr:row>
      <xdr:rowOff>76200</xdr:rowOff>
    </xdr:from>
    <xdr:to>
      <xdr:col>14</xdr:col>
      <xdr:colOff>182880</xdr:colOff>
      <xdr:row>18</xdr:row>
      <xdr:rowOff>91440</xdr:rowOff>
    </xdr:to>
    <xdr:sp macro="" textlink="">
      <xdr:nvSpPr>
        <xdr:cNvPr id="9" name="Card 8"/>
        <xdr:cNvSpPr/>
      </xdr:nvSpPr>
      <xdr:spPr>
        <a:xfrm>
          <a:off x="6339840" y="1600200"/>
          <a:ext cx="2377440" cy="192024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335280</xdr:colOff>
      <xdr:row>8</xdr:row>
      <xdr:rowOff>76200</xdr:rowOff>
    </xdr:from>
    <xdr:to>
      <xdr:col>18</xdr:col>
      <xdr:colOff>274320</xdr:colOff>
      <xdr:row>18</xdr:row>
      <xdr:rowOff>91440</xdr:rowOff>
    </xdr:to>
    <xdr:sp macro="" textlink="">
      <xdr:nvSpPr>
        <xdr:cNvPr id="10" name="Card 9"/>
        <xdr:cNvSpPr/>
      </xdr:nvSpPr>
      <xdr:spPr>
        <a:xfrm>
          <a:off x="8869680" y="1600200"/>
          <a:ext cx="2377440" cy="192024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19</xdr:row>
      <xdr:rowOff>53340</xdr:rowOff>
    </xdr:from>
    <xdr:to>
      <xdr:col>6</xdr:col>
      <xdr:colOff>243840</xdr:colOff>
      <xdr:row>29</xdr:row>
      <xdr:rowOff>68580</xdr:rowOff>
    </xdr:to>
    <xdr:sp macro="" textlink="">
      <xdr:nvSpPr>
        <xdr:cNvPr id="11" name="Card 10"/>
        <xdr:cNvSpPr/>
      </xdr:nvSpPr>
      <xdr:spPr>
        <a:xfrm>
          <a:off x="152400" y="3672840"/>
          <a:ext cx="3749040" cy="192024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396240</xdr:colOff>
      <xdr:row>19</xdr:row>
      <xdr:rowOff>53340</xdr:rowOff>
    </xdr:from>
    <xdr:to>
      <xdr:col>10</xdr:col>
      <xdr:colOff>243840</xdr:colOff>
      <xdr:row>29</xdr:row>
      <xdr:rowOff>68580</xdr:rowOff>
    </xdr:to>
    <xdr:sp macro="" textlink="">
      <xdr:nvSpPr>
        <xdr:cNvPr id="12" name="Card 11"/>
        <xdr:cNvSpPr/>
      </xdr:nvSpPr>
      <xdr:spPr>
        <a:xfrm>
          <a:off x="4053840" y="3672840"/>
          <a:ext cx="2286000" cy="192024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396240</xdr:colOff>
      <xdr:row>19</xdr:row>
      <xdr:rowOff>53340</xdr:rowOff>
    </xdr:from>
    <xdr:to>
      <xdr:col>18</xdr:col>
      <xdr:colOff>91440</xdr:colOff>
      <xdr:row>29</xdr:row>
      <xdr:rowOff>68580</xdr:rowOff>
    </xdr:to>
    <xdr:sp macro="" textlink="">
      <xdr:nvSpPr>
        <xdr:cNvPr id="13" name="Card 12"/>
        <xdr:cNvSpPr/>
      </xdr:nvSpPr>
      <xdr:spPr>
        <a:xfrm>
          <a:off x="6492240" y="3672840"/>
          <a:ext cx="4572000" cy="1920240"/>
        </a:xfrm>
        <a:prstGeom prst="roundRect">
          <a:avLst>
            <a:gd name="adj" fmla="val 3000"/>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xdr:col>
      <xdr:colOff>276225</xdr:colOff>
      <xdr:row>1</xdr:row>
      <xdr:rowOff>0</xdr:rowOff>
    </xdr:from>
    <xdr:ext cx="184731" cy="264560"/>
    <xdr:sp macro="" textlink="">
      <xdr:nvSpPr>
        <xdr:cNvPr id="14" name="TextBox 13"/>
        <xdr:cNvSpPr txBox="1"/>
      </xdr:nvSpPr>
      <xdr:spPr>
        <a:xfrm>
          <a:off x="885825" y="190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2</xdr:col>
      <xdr:colOff>352425</xdr:colOff>
      <xdr:row>0</xdr:row>
      <xdr:rowOff>114300</xdr:rowOff>
    </xdr:from>
    <xdr:to>
      <xdr:col>7</xdr:col>
      <xdr:colOff>304800</xdr:colOff>
      <xdr:row>2</xdr:row>
      <xdr:rowOff>76200</xdr:rowOff>
    </xdr:to>
    <xdr:sp macro="" textlink="">
      <xdr:nvSpPr>
        <xdr:cNvPr id="15" name="TextBox 14"/>
        <xdr:cNvSpPr txBox="1"/>
      </xdr:nvSpPr>
      <xdr:spPr>
        <a:xfrm>
          <a:off x="1571625" y="114300"/>
          <a:ext cx="30003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ln>
                <a:noFill/>
              </a:ln>
              <a:solidFill>
                <a:schemeClr val="bg1"/>
              </a:solidFill>
              <a:latin typeface="Times New Roman" panose="02020603050405020304" pitchFamily="18" charset="0"/>
              <a:cs typeface="Times New Roman" panose="02020603050405020304" pitchFamily="18" charset="0"/>
            </a:rPr>
            <a:t>TAX</a:t>
          </a:r>
          <a:r>
            <a:rPr lang="en-IN" sz="1600" b="1" baseline="0">
              <a:ln>
                <a:noFill/>
              </a:ln>
              <a:solidFill>
                <a:schemeClr val="bg1"/>
              </a:solidFill>
              <a:latin typeface="Times New Roman" panose="02020603050405020304" pitchFamily="18" charset="0"/>
              <a:cs typeface="Times New Roman" panose="02020603050405020304" pitchFamily="18" charset="0"/>
            </a:rPr>
            <a:t> DATA ANALYSIS </a:t>
          </a:r>
          <a:endParaRPr lang="en-IN" sz="1600" b="1">
            <a:ln>
              <a:noFill/>
            </a:ln>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152399</xdr:colOff>
      <xdr:row>8</xdr:row>
      <xdr:rowOff>76200</xdr:rowOff>
    </xdr:from>
    <xdr:to>
      <xdr:col>10</xdr:col>
      <xdr:colOff>66674</xdr:colOff>
      <xdr:row>18</xdr:row>
      <xdr:rowOff>66675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396239</xdr:colOff>
      <xdr:row>19</xdr:row>
      <xdr:rowOff>53340</xdr:rowOff>
    </xdr:from>
    <xdr:to>
      <xdr:col>19</xdr:col>
      <xdr:colOff>123824</xdr:colOff>
      <xdr:row>29</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142875</xdr:colOff>
      <xdr:row>19</xdr:row>
      <xdr:rowOff>81916</xdr:rowOff>
    </xdr:from>
    <xdr:to>
      <xdr:col>6</xdr:col>
      <xdr:colOff>342900</xdr:colOff>
      <xdr:row>29</xdr:row>
      <xdr:rowOff>66676</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243840</xdr:colOff>
      <xdr:row>8</xdr:row>
      <xdr:rowOff>76200</xdr:rowOff>
    </xdr:from>
    <xdr:to>
      <xdr:col>14</xdr:col>
      <xdr:colOff>190500</xdr:colOff>
      <xdr:row>18</xdr:row>
      <xdr:rowOff>104775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335280</xdr:colOff>
      <xdr:row>8</xdr:row>
      <xdr:rowOff>95250</xdr:rowOff>
    </xdr:from>
    <xdr:to>
      <xdr:col>19</xdr:col>
      <xdr:colOff>123825</xdr:colOff>
      <xdr:row>18</xdr:row>
      <xdr:rowOff>104775</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438150</xdr:colOff>
      <xdr:row>19</xdr:row>
      <xdr:rowOff>53340</xdr:rowOff>
    </xdr:from>
    <xdr:to>
      <xdr:col>10</xdr:col>
      <xdr:colOff>257175</xdr:colOff>
      <xdr:row>29</xdr:row>
      <xdr:rowOff>95250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209550</xdr:colOff>
      <xdr:row>4</xdr:row>
      <xdr:rowOff>19050</xdr:rowOff>
    </xdr:from>
    <xdr:to>
      <xdr:col>22</xdr:col>
      <xdr:colOff>209550</xdr:colOff>
      <xdr:row>18</xdr:row>
      <xdr:rowOff>104776</xdr:rowOff>
    </xdr:to>
    <mc:AlternateContent xmlns:mc="http://schemas.openxmlformats.org/markup-compatibility/2006" xmlns:a14="http://schemas.microsoft.com/office/drawing/2010/main">
      <mc:Choice Requires="a14">
        <xdr:graphicFrame macro="">
          <xdr:nvGraphicFramePr>
            <xdr:cNvPr id="32"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1791950" y="781050"/>
              <a:ext cx="1828800" cy="27527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209550</xdr:colOff>
      <xdr:row>18</xdr:row>
      <xdr:rowOff>123825</xdr:rowOff>
    </xdr:from>
    <xdr:to>
      <xdr:col>22</xdr:col>
      <xdr:colOff>209550</xdr:colOff>
      <xdr:row>31</xdr:row>
      <xdr:rowOff>171450</xdr:rowOff>
    </xdr:to>
    <mc:AlternateContent xmlns:mc="http://schemas.openxmlformats.org/markup-compatibility/2006" xmlns:a14="http://schemas.microsoft.com/office/drawing/2010/main">
      <mc:Choice Requires="a14">
        <xdr:graphicFrame macro="">
          <xdr:nvGraphicFramePr>
            <xdr:cNvPr id="27" name="Assessment Year 1"/>
            <xdr:cNvGraphicFramePr/>
          </xdr:nvGraphicFramePr>
          <xdr:xfrm>
            <a:off x="0" y="0"/>
            <a:ext cx="0" cy="0"/>
          </xdr:xfrm>
          <a:graphic>
            <a:graphicData uri="http://schemas.microsoft.com/office/drawing/2010/slicer">
              <sle:slicer xmlns:sle="http://schemas.microsoft.com/office/drawing/2010/slicer" name="Assessment Year 1"/>
            </a:graphicData>
          </a:graphic>
        </xdr:graphicFrame>
      </mc:Choice>
      <mc:Fallback xmlns="">
        <xdr:sp macro="" textlink="">
          <xdr:nvSpPr>
            <xdr:cNvPr id="0" name=""/>
            <xdr:cNvSpPr>
              <a:spLocks noTextEdit="1"/>
            </xdr:cNvSpPr>
          </xdr:nvSpPr>
          <xdr:spPr>
            <a:xfrm>
              <a:off x="11791950" y="35528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209550</xdr:colOff>
      <xdr:row>4</xdr:row>
      <xdr:rowOff>38100</xdr:rowOff>
    </xdr:from>
    <xdr:to>
      <xdr:col>2</xdr:col>
      <xdr:colOff>438150</xdr:colOff>
      <xdr:row>5</xdr:row>
      <xdr:rowOff>104775</xdr:rowOff>
    </xdr:to>
    <xdr:sp macro="" textlink="">
      <xdr:nvSpPr>
        <xdr:cNvPr id="16" name="TextBox 15"/>
        <xdr:cNvSpPr txBox="1"/>
      </xdr:nvSpPr>
      <xdr:spPr>
        <a:xfrm>
          <a:off x="209550" y="800100"/>
          <a:ext cx="14478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2">
                  <a:lumMod val="75000"/>
                </a:schemeClr>
              </a:solidFill>
              <a:effectLst/>
              <a:latin typeface="+mn-lt"/>
              <a:ea typeface="+mn-ea"/>
              <a:cs typeface="+mn-cs"/>
            </a:rPr>
            <a:t>Total Taxpayers</a:t>
          </a:r>
          <a:endParaRPr lang="en-IN" sz="1100" b="1">
            <a:solidFill>
              <a:schemeClr val="tx2">
                <a:lumMod val="75000"/>
              </a:schemeClr>
            </a:solidFill>
          </a:endParaRPr>
        </a:p>
      </xdr:txBody>
    </xdr:sp>
    <xdr:clientData/>
  </xdr:twoCellAnchor>
  <xdr:twoCellAnchor>
    <xdr:from>
      <xdr:col>1</xdr:col>
      <xdr:colOff>247650</xdr:colOff>
      <xdr:row>5</xdr:row>
      <xdr:rowOff>171450</xdr:rowOff>
    </xdr:from>
    <xdr:to>
      <xdr:col>3</xdr:col>
      <xdr:colOff>171450</xdr:colOff>
      <xdr:row>7</xdr:row>
      <xdr:rowOff>9525</xdr:rowOff>
    </xdr:to>
    <xdr:sp macro="" textlink="Pivot!B107">
      <xdr:nvSpPr>
        <xdr:cNvPr id="17" name="TextBox 16"/>
        <xdr:cNvSpPr txBox="1"/>
      </xdr:nvSpPr>
      <xdr:spPr>
        <a:xfrm>
          <a:off x="857250" y="1123950"/>
          <a:ext cx="1143000"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84DA3EC-6547-4C19-9A74-9A1EDD8FE2AA}" type="TxLink">
            <a:rPr lang="en-US" sz="1100" b="1" i="0" u="none" strike="noStrike">
              <a:ln>
                <a:noFill/>
              </a:ln>
              <a:solidFill>
                <a:schemeClr val="tx1"/>
              </a:solidFill>
              <a:latin typeface="Calibri"/>
              <a:cs typeface="Calibri"/>
            </a:rPr>
            <a:pPr/>
            <a:t> </a:t>
          </a:fld>
          <a:endParaRPr lang="en-IN" sz="1100" b="1">
            <a:ln>
              <a:noFill/>
            </a:ln>
            <a:solidFill>
              <a:schemeClr val="tx1"/>
            </a:solidFill>
          </a:endParaRPr>
        </a:p>
      </xdr:txBody>
    </xdr:sp>
    <xdr:clientData/>
  </xdr:twoCellAnchor>
  <xdr:twoCellAnchor>
    <xdr:from>
      <xdr:col>4</xdr:col>
      <xdr:colOff>352425</xdr:colOff>
      <xdr:row>4</xdr:row>
      <xdr:rowOff>57150</xdr:rowOff>
    </xdr:from>
    <xdr:to>
      <xdr:col>6</xdr:col>
      <xdr:colOff>400050</xdr:colOff>
      <xdr:row>5</xdr:row>
      <xdr:rowOff>95250</xdr:rowOff>
    </xdr:to>
    <xdr:sp macro="" textlink="">
      <xdr:nvSpPr>
        <xdr:cNvPr id="18" name="TextBox 17"/>
        <xdr:cNvSpPr txBox="1"/>
      </xdr:nvSpPr>
      <xdr:spPr>
        <a:xfrm>
          <a:off x="2790825" y="819150"/>
          <a:ext cx="12668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tx2">
                  <a:lumMod val="75000"/>
                </a:schemeClr>
              </a:solidFill>
            </a:rPr>
            <a:t>Total Tax</a:t>
          </a:r>
          <a:r>
            <a:rPr lang="en-IN" sz="1100" b="1" baseline="0">
              <a:solidFill>
                <a:schemeClr val="tx2">
                  <a:lumMod val="75000"/>
                </a:schemeClr>
              </a:solidFill>
            </a:rPr>
            <a:t> Amount</a:t>
          </a:r>
          <a:endParaRPr lang="en-IN" sz="1100" b="1">
            <a:solidFill>
              <a:schemeClr val="tx2">
                <a:lumMod val="75000"/>
              </a:schemeClr>
            </a:solidFill>
          </a:endParaRPr>
        </a:p>
      </xdr:txBody>
    </xdr:sp>
    <xdr:clientData/>
  </xdr:twoCellAnchor>
  <xdr:twoCellAnchor>
    <xdr:from>
      <xdr:col>5</xdr:col>
      <xdr:colOff>76200</xdr:colOff>
      <xdr:row>5</xdr:row>
      <xdr:rowOff>180975</xdr:rowOff>
    </xdr:from>
    <xdr:to>
      <xdr:col>7</xdr:col>
      <xdr:colOff>333375</xdr:colOff>
      <xdr:row>7</xdr:row>
      <xdr:rowOff>9525</xdr:rowOff>
    </xdr:to>
    <xdr:sp macro="" textlink="Pivot!E9">
      <xdr:nvSpPr>
        <xdr:cNvPr id="23" name="TextBox 22"/>
        <xdr:cNvSpPr txBox="1"/>
      </xdr:nvSpPr>
      <xdr:spPr>
        <a:xfrm>
          <a:off x="3124200" y="1133475"/>
          <a:ext cx="147637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7F9631-5F85-46B5-9671-2AC84AE5A14C}" type="TxLink">
            <a:rPr lang="en-US" sz="1100" b="1" i="0" u="none" strike="noStrike">
              <a:solidFill>
                <a:schemeClr val="tx1"/>
              </a:solidFill>
              <a:latin typeface="Calibri"/>
              <a:cs typeface="Calibri"/>
            </a:rPr>
            <a:pPr/>
            <a:t> </a:t>
          </a:fld>
          <a:endParaRPr lang="en-IN" sz="1100" b="1">
            <a:solidFill>
              <a:schemeClr val="tx1"/>
            </a:solidFill>
          </a:endParaRPr>
        </a:p>
      </xdr:txBody>
    </xdr:sp>
    <xdr:clientData/>
  </xdr:twoCellAnchor>
  <xdr:twoCellAnchor>
    <xdr:from>
      <xdr:col>8</xdr:col>
      <xdr:colOff>190499</xdr:colOff>
      <xdr:row>4</xdr:row>
      <xdr:rowOff>57150</xdr:rowOff>
    </xdr:from>
    <xdr:to>
      <xdr:col>10</xdr:col>
      <xdr:colOff>371474</xdr:colOff>
      <xdr:row>5</xdr:row>
      <xdr:rowOff>133350</xdr:rowOff>
    </xdr:to>
    <xdr:sp macro="" textlink="">
      <xdr:nvSpPr>
        <xdr:cNvPr id="25" name="TextBox 24"/>
        <xdr:cNvSpPr txBox="1"/>
      </xdr:nvSpPr>
      <xdr:spPr>
        <a:xfrm>
          <a:off x="5067299" y="819150"/>
          <a:ext cx="14001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tx2">
                  <a:lumMod val="75000"/>
                </a:schemeClr>
              </a:solidFill>
            </a:rPr>
            <a:t>Total State by Tax</a:t>
          </a:r>
        </a:p>
      </xdr:txBody>
    </xdr:sp>
    <xdr:clientData/>
  </xdr:twoCellAnchor>
  <xdr:twoCellAnchor>
    <xdr:from>
      <xdr:col>8</xdr:col>
      <xdr:colOff>466725</xdr:colOff>
      <xdr:row>5</xdr:row>
      <xdr:rowOff>171451</xdr:rowOff>
    </xdr:from>
    <xdr:to>
      <xdr:col>11</xdr:col>
      <xdr:colOff>95250</xdr:colOff>
      <xdr:row>7</xdr:row>
      <xdr:rowOff>1</xdr:rowOff>
    </xdr:to>
    <xdr:sp macro="" textlink="Pivot!F25">
      <xdr:nvSpPr>
        <xdr:cNvPr id="28" name="TextBox 27"/>
        <xdr:cNvSpPr txBox="1"/>
      </xdr:nvSpPr>
      <xdr:spPr>
        <a:xfrm>
          <a:off x="5343525" y="1123951"/>
          <a:ext cx="14573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4549E1-B3BB-44C2-9A9D-0F3789318AE8}" type="TxLink">
            <a:rPr lang="en-US" sz="1100" b="1" i="0" u="none" strike="noStrike">
              <a:solidFill>
                <a:srgbClr val="000000"/>
              </a:solidFill>
              <a:latin typeface="Calibri"/>
              <a:cs typeface="Calibri"/>
            </a:rPr>
            <a:pPr/>
            <a:t> </a:t>
          </a:fld>
          <a:endParaRPr lang="en-IN" sz="1100" b="1">
            <a:solidFill>
              <a:schemeClr val="tx1"/>
            </a:solidFill>
          </a:endParaRPr>
        </a:p>
      </xdr:txBody>
    </xdr:sp>
    <xdr:clientData/>
  </xdr:twoCellAnchor>
  <xdr:twoCellAnchor>
    <xdr:from>
      <xdr:col>12</xdr:col>
      <xdr:colOff>57149</xdr:colOff>
      <xdr:row>4</xdr:row>
      <xdr:rowOff>38100</xdr:rowOff>
    </xdr:from>
    <xdr:to>
      <xdr:col>14</xdr:col>
      <xdr:colOff>485774</xdr:colOff>
      <xdr:row>5</xdr:row>
      <xdr:rowOff>47625</xdr:rowOff>
    </xdr:to>
    <xdr:sp macro="" textlink="">
      <xdr:nvSpPr>
        <xdr:cNvPr id="29" name="TextBox 28"/>
        <xdr:cNvSpPr txBox="1"/>
      </xdr:nvSpPr>
      <xdr:spPr>
        <a:xfrm>
          <a:off x="7372349" y="800100"/>
          <a:ext cx="164782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tx2">
                  <a:lumMod val="75000"/>
                </a:schemeClr>
              </a:solidFill>
            </a:rPr>
            <a:t>Count of Taxpayers</a:t>
          </a:r>
        </a:p>
      </xdr:txBody>
    </xdr:sp>
    <xdr:clientData/>
  </xdr:twoCellAnchor>
  <xdr:twoCellAnchor>
    <xdr:from>
      <xdr:col>12</xdr:col>
      <xdr:colOff>466725</xdr:colOff>
      <xdr:row>5</xdr:row>
      <xdr:rowOff>152400</xdr:rowOff>
    </xdr:from>
    <xdr:to>
      <xdr:col>15</xdr:col>
      <xdr:colOff>76200</xdr:colOff>
      <xdr:row>7</xdr:row>
      <xdr:rowOff>0</xdr:rowOff>
    </xdr:to>
    <xdr:sp macro="" textlink="Pivot!F37">
      <xdr:nvSpPr>
        <xdr:cNvPr id="30" name="TextBox 29"/>
        <xdr:cNvSpPr txBox="1"/>
      </xdr:nvSpPr>
      <xdr:spPr>
        <a:xfrm>
          <a:off x="7781925" y="1104900"/>
          <a:ext cx="143827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AD6823-38CA-4494-A21F-BDF604356B4D}" type="TxLink">
            <a:rPr lang="en-US" sz="1100" b="1" i="0" u="none" strike="noStrike">
              <a:ln>
                <a:noFill/>
              </a:ln>
              <a:solidFill>
                <a:srgbClr val="000000"/>
              </a:solidFill>
              <a:latin typeface="Calibri"/>
              <a:cs typeface="Calibri"/>
            </a:rPr>
            <a:pPr/>
            <a:t> </a:t>
          </a:fld>
          <a:endParaRPr lang="en-IN" sz="1100" b="1">
            <a:ln>
              <a:noFill/>
            </a:ln>
            <a:solidFill>
              <a:schemeClr val="tx1"/>
            </a:solidFill>
          </a:endParaRPr>
        </a:p>
      </xdr:txBody>
    </xdr:sp>
    <xdr:clientData/>
  </xdr:twoCellAnchor>
  <xdr:twoCellAnchor>
    <xdr:from>
      <xdr:col>15</xdr:col>
      <xdr:colOff>523875</xdr:colOff>
      <xdr:row>4</xdr:row>
      <xdr:rowOff>28575</xdr:rowOff>
    </xdr:from>
    <xdr:to>
      <xdr:col>17</xdr:col>
      <xdr:colOff>581025</xdr:colOff>
      <xdr:row>5</xdr:row>
      <xdr:rowOff>47625</xdr:rowOff>
    </xdr:to>
    <xdr:sp macro="" textlink="">
      <xdr:nvSpPr>
        <xdr:cNvPr id="31" name="TextBox 30"/>
        <xdr:cNvSpPr txBox="1"/>
      </xdr:nvSpPr>
      <xdr:spPr>
        <a:xfrm>
          <a:off x="9667875" y="790575"/>
          <a:ext cx="1276350"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tx2">
                  <a:lumMod val="75000"/>
                </a:schemeClr>
              </a:solidFill>
            </a:rPr>
            <a:t>Assessment</a:t>
          </a:r>
          <a:r>
            <a:rPr lang="en-IN" sz="1100" b="1" baseline="0">
              <a:solidFill>
                <a:schemeClr val="tx2">
                  <a:lumMod val="75000"/>
                </a:schemeClr>
              </a:solidFill>
            </a:rPr>
            <a:t> Year</a:t>
          </a:r>
          <a:endParaRPr lang="en-IN" sz="1100" b="1">
            <a:solidFill>
              <a:schemeClr val="tx2">
                <a:lumMod val="75000"/>
              </a:schemeClr>
            </a:solidFill>
          </a:endParaRPr>
        </a:p>
      </xdr:txBody>
    </xdr:sp>
    <xdr:clientData/>
  </xdr:twoCellAnchor>
  <xdr:twoCellAnchor>
    <xdr:from>
      <xdr:col>16</xdr:col>
      <xdr:colOff>342900</xdr:colOff>
      <xdr:row>5</xdr:row>
      <xdr:rowOff>95250</xdr:rowOff>
    </xdr:from>
    <xdr:to>
      <xdr:col>18</xdr:col>
      <xdr:colOff>523875</xdr:colOff>
      <xdr:row>6</xdr:row>
      <xdr:rowOff>133350</xdr:rowOff>
    </xdr:to>
    <xdr:sp macro="" textlink="Pivot!K125">
      <xdr:nvSpPr>
        <xdr:cNvPr id="33" name="TextBox 32"/>
        <xdr:cNvSpPr txBox="1"/>
      </xdr:nvSpPr>
      <xdr:spPr>
        <a:xfrm>
          <a:off x="10096500" y="1047750"/>
          <a:ext cx="140017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D97BDA-FBB3-4879-9457-4FC6206C736A}" type="TxLink">
            <a:rPr lang="en-US" sz="1100" b="1" i="0" u="none" strike="noStrike">
              <a:ln>
                <a:noFill/>
              </a:ln>
              <a:solidFill>
                <a:srgbClr val="000000"/>
              </a:solidFill>
              <a:latin typeface="Calibri"/>
              <a:cs typeface="Calibri"/>
            </a:rPr>
            <a:pPr/>
            <a:t> </a:t>
          </a:fld>
          <a:endParaRPr lang="en-IN" sz="1100" b="1">
            <a:ln>
              <a:noFill/>
            </a:ln>
            <a:solidFill>
              <a:schemeClr val="tx1"/>
            </a:solidFill>
          </a:endParaRPr>
        </a:p>
      </xdr:txBody>
    </xdr:sp>
    <xdr:clientData/>
  </xdr:twoCellAnchor>
  <xdr:twoCellAnchor>
    <xdr:from>
      <xdr:col>2</xdr:col>
      <xdr:colOff>276224</xdr:colOff>
      <xdr:row>8</xdr:row>
      <xdr:rowOff>114301</xdr:rowOff>
    </xdr:from>
    <xdr:to>
      <xdr:col>7</xdr:col>
      <xdr:colOff>571499</xdr:colOff>
      <xdr:row>10</xdr:row>
      <xdr:rowOff>66675</xdr:rowOff>
    </xdr:to>
    <xdr:sp macro="" textlink="">
      <xdr:nvSpPr>
        <xdr:cNvPr id="34" name="TextBox 33"/>
        <xdr:cNvSpPr txBox="1"/>
      </xdr:nvSpPr>
      <xdr:spPr>
        <a:xfrm>
          <a:off x="1495424" y="1638301"/>
          <a:ext cx="3343275"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none" strike="noStrike">
              <a:solidFill>
                <a:schemeClr val="tx2">
                  <a:lumMod val="75000"/>
                </a:schemeClr>
              </a:solidFill>
              <a:effectLst/>
              <a:latin typeface="+mn-lt"/>
              <a:ea typeface="+mn-ea"/>
              <a:cs typeface="+mn-cs"/>
            </a:rPr>
            <a:t>Total Tax Amount by Tax Type and Status</a:t>
          </a:r>
          <a:r>
            <a:rPr lang="en-IN" sz="1200" b="1">
              <a:solidFill>
                <a:schemeClr val="tx2">
                  <a:lumMod val="75000"/>
                </a:schemeClr>
              </a:solidFill>
            </a:rPr>
            <a:t> </a:t>
          </a:r>
        </a:p>
      </xdr:txBody>
    </xdr:sp>
    <xdr:clientData/>
  </xdr:twoCellAnchor>
  <xdr:twoCellAnchor>
    <xdr:from>
      <xdr:col>0</xdr:col>
      <xdr:colOff>180975</xdr:colOff>
      <xdr:row>19</xdr:row>
      <xdr:rowOff>85725</xdr:rowOff>
    </xdr:from>
    <xdr:to>
      <xdr:col>6</xdr:col>
      <xdr:colOff>219075</xdr:colOff>
      <xdr:row>20</xdr:row>
      <xdr:rowOff>152400</xdr:rowOff>
    </xdr:to>
    <xdr:sp macro="" textlink="">
      <xdr:nvSpPr>
        <xdr:cNvPr id="35" name="TextBox 34"/>
        <xdr:cNvSpPr txBox="1"/>
      </xdr:nvSpPr>
      <xdr:spPr>
        <a:xfrm>
          <a:off x="180975" y="3705225"/>
          <a:ext cx="3695700" cy="257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0" u="none" strike="noStrike">
              <a:solidFill>
                <a:schemeClr val="tx2">
                  <a:lumMod val="75000"/>
                </a:schemeClr>
              </a:solidFill>
              <a:effectLst/>
              <a:latin typeface="+mn-lt"/>
              <a:ea typeface="+mn-ea"/>
              <a:cs typeface="+mn-cs"/>
            </a:rPr>
            <a:t>Count of Taxpayers by Assessment year and Tax Type</a:t>
          </a:r>
          <a:r>
            <a:rPr lang="en-IN" b="1">
              <a:solidFill>
                <a:schemeClr val="tx2">
                  <a:lumMod val="75000"/>
                </a:schemeClr>
              </a:solidFill>
            </a:rPr>
            <a:t> </a:t>
          </a:r>
          <a:endParaRPr lang="en-IN" sz="1100" b="1">
            <a:solidFill>
              <a:schemeClr val="tx2">
                <a:lumMod val="75000"/>
              </a:schemeClr>
            </a:solidFill>
          </a:endParaRPr>
        </a:p>
      </xdr:txBody>
    </xdr:sp>
    <xdr:clientData/>
  </xdr:twoCellAnchor>
  <xdr:twoCellAnchor>
    <xdr:from>
      <xdr:col>6</xdr:col>
      <xdr:colOff>561975</xdr:colOff>
      <xdr:row>19</xdr:row>
      <xdr:rowOff>47625</xdr:rowOff>
    </xdr:from>
    <xdr:to>
      <xdr:col>10</xdr:col>
      <xdr:colOff>133350</xdr:colOff>
      <xdr:row>20</xdr:row>
      <xdr:rowOff>104775</xdr:rowOff>
    </xdr:to>
    <xdr:sp macro="" textlink="">
      <xdr:nvSpPr>
        <xdr:cNvPr id="36" name="TextBox 35"/>
        <xdr:cNvSpPr txBox="1"/>
      </xdr:nvSpPr>
      <xdr:spPr>
        <a:xfrm>
          <a:off x="4219575" y="3667125"/>
          <a:ext cx="2009775"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IN" sz="1100" b="1" i="0" baseline="0">
              <a:solidFill>
                <a:schemeClr val="tx2">
                  <a:lumMod val="75000"/>
                </a:schemeClr>
              </a:solidFill>
              <a:effectLst/>
              <a:latin typeface="+mn-lt"/>
              <a:ea typeface="+mn-ea"/>
              <a:cs typeface="+mn-cs"/>
            </a:rPr>
            <a:t>Tax Collection per taxpayer </a:t>
          </a:r>
          <a:endParaRPr lang="en-IN" b="1">
            <a:solidFill>
              <a:schemeClr val="tx2">
                <a:lumMod val="75000"/>
              </a:schemeClr>
            </a:solidFill>
            <a:effectLst/>
          </a:endParaRPr>
        </a:p>
        <a:p>
          <a:endParaRPr lang="en-IN" sz="1100" b="1">
            <a:solidFill>
              <a:schemeClr val="tx2">
                <a:lumMod val="75000"/>
              </a:schemeClr>
            </a:solidFill>
          </a:endParaRPr>
        </a:p>
      </xdr:txBody>
    </xdr:sp>
    <xdr:clientData/>
  </xdr:twoCellAnchor>
  <xdr:twoCellAnchor>
    <xdr:from>
      <xdr:col>11</xdr:col>
      <xdr:colOff>600075</xdr:colOff>
      <xdr:row>19</xdr:row>
      <xdr:rowOff>28575</xdr:rowOff>
    </xdr:from>
    <xdr:to>
      <xdr:col>18</xdr:col>
      <xdr:colOff>76200</xdr:colOff>
      <xdr:row>20</xdr:row>
      <xdr:rowOff>85725</xdr:rowOff>
    </xdr:to>
    <xdr:sp macro="" textlink="">
      <xdr:nvSpPr>
        <xdr:cNvPr id="37" name="TextBox 36"/>
        <xdr:cNvSpPr txBox="1"/>
      </xdr:nvSpPr>
      <xdr:spPr>
        <a:xfrm>
          <a:off x="7305675" y="3648075"/>
          <a:ext cx="3743325"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0" u="none" strike="noStrike">
              <a:solidFill>
                <a:schemeClr val="tx2">
                  <a:lumMod val="75000"/>
                </a:schemeClr>
              </a:solidFill>
              <a:effectLst/>
              <a:latin typeface="+mn-lt"/>
              <a:ea typeface="+mn-ea"/>
              <a:cs typeface="+mn-cs"/>
            </a:rPr>
            <a:t>Tax Amount by State and Status</a:t>
          </a:r>
          <a:r>
            <a:rPr lang="en-IN">
              <a:solidFill>
                <a:schemeClr val="tx2">
                  <a:lumMod val="75000"/>
                </a:schemeClr>
              </a:solidFill>
            </a:rPr>
            <a:t> </a:t>
          </a:r>
          <a:endParaRPr lang="en-IN" sz="1100">
            <a:solidFill>
              <a:schemeClr val="tx2">
                <a:lumMod val="75000"/>
              </a:schemeClr>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cdr:x>
      <cdr:y>5.27572E-7</cdr:y>
    </cdr:from>
    <cdr:to>
      <cdr:x>0.03487</cdr:x>
      <cdr:y>0.09778</cdr:y>
    </cdr:to>
    <cdr:pic macro="[0]!Module2.chart_Click">
      <cdr:nvPicPr>
        <cdr:cNvPr id="3"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1"/>
          <a:ext cx="209551" cy="185336"/>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0.08999</cdr:x>
      <cdr:y>0.04478</cdr:y>
    </cdr:from>
    <cdr:to>
      <cdr:x>0.96978</cdr:x>
      <cdr:y>0.14925</cdr:y>
    </cdr:to>
    <cdr:sp macro="" textlink="">
      <cdr:nvSpPr>
        <cdr:cNvPr id="2" name="TextBox 1"/>
        <cdr:cNvSpPr txBox="1"/>
      </cdr:nvSpPr>
      <cdr:spPr>
        <a:xfrm xmlns:a="http://schemas.openxmlformats.org/drawingml/2006/main">
          <a:off x="255270" y="85725"/>
          <a:ext cx="2495550" cy="2000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0.03627</cdr:x>
      <cdr:y>0.02488</cdr:y>
    </cdr:from>
    <cdr:to>
      <cdr:x>0.96978</cdr:x>
      <cdr:y>0.14428</cdr:y>
    </cdr:to>
    <cdr:sp macro="" textlink="">
      <cdr:nvSpPr>
        <cdr:cNvPr id="3" name="TextBox 2"/>
        <cdr:cNvSpPr txBox="1"/>
      </cdr:nvSpPr>
      <cdr:spPr>
        <a:xfrm xmlns:a="http://schemas.openxmlformats.org/drawingml/2006/main">
          <a:off x="102870" y="47625"/>
          <a:ext cx="2647950" cy="2286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0.01948</cdr:x>
      <cdr:y>0.0597</cdr:y>
    </cdr:from>
    <cdr:to>
      <cdr:x>1</cdr:x>
      <cdr:y>0.20896</cdr:y>
    </cdr:to>
    <cdr:sp macro="" textlink="">
      <cdr:nvSpPr>
        <cdr:cNvPr id="4" name="TextBox 3"/>
        <cdr:cNvSpPr txBox="1"/>
      </cdr:nvSpPr>
      <cdr:spPr>
        <a:xfrm xmlns:a="http://schemas.openxmlformats.org/drawingml/2006/main">
          <a:off x="55245" y="114300"/>
          <a:ext cx="2781300" cy="28575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IN" sz="1100" b="1">
              <a:solidFill>
                <a:schemeClr val="tx2">
                  <a:lumMod val="75000"/>
                </a:schemeClr>
              </a:solidFill>
            </a:rPr>
            <a:t>Total tax Amount By Status and Assessment year</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Lenovo" refreshedDate="45796.453284722222" createdVersion="5" refreshedVersion="5" minRefreshableVersion="3" recordCount="101">
  <cacheSource type="worksheet">
    <worksheetSource ref="A1:H1048576" sheet="Data"/>
  </cacheSource>
  <cacheFields count="9">
    <cacheField name="Date" numFmtId="0">
      <sharedItems containsBlank="1"/>
    </cacheField>
    <cacheField name="Taxpayer Name" numFmtId="0">
      <sharedItems containsBlank="1" count="64">
        <s v="Anjali Menon"/>
        <s v="Priya Menon"/>
        <s v="Arun Sharma"/>
        <s v="Ravi Bose"/>
        <s v="Arun Reddy"/>
        <s v="Arun Joshi"/>
        <s v="Anjali Sharma"/>
        <s v="Kavya Sharma"/>
        <s v="Suresh Bose"/>
        <s v="Meena Bose"/>
        <s v="Kavya Menon"/>
        <s v="Kavya Reddy"/>
        <s v="Ravi Singh"/>
        <s v="Divya Kumar"/>
        <s v="Meena Nair"/>
        <s v="Priya Reddy"/>
        <s v="Arun Kumar"/>
        <s v="Arun Bose"/>
        <s v="Meena Menon"/>
        <s v="Meena Singh"/>
        <s v="Karthik Das"/>
        <s v="Divya Sharma"/>
        <s v="Karthik Singh"/>
        <s v="Karthik Nair"/>
        <s v="Vijay Joshi"/>
        <s v="Ravi Reddy"/>
        <s v="Divya Bose"/>
        <s v="Meena Kumar"/>
        <s v="Kavya Patel"/>
        <s v="Priya Patel"/>
        <s v="Kavya Joshi"/>
        <s v="Divya Patel"/>
        <s v="Arun Nair"/>
        <s v="Priya Das"/>
        <s v="Kavya Singh"/>
        <s v="Ravi Menon"/>
        <s v="Karthik Menon"/>
        <s v="Priya Kumar"/>
        <s v="Divya Joshi"/>
        <s v="Meena Patel"/>
        <s v="Suresh Nair"/>
        <s v="Priya Bose"/>
        <s v="Priya Singh"/>
        <s v="Meena Joshi"/>
        <s v="Anjali Reddy"/>
        <s v="Priya Nair"/>
        <s v="Anjali Patel"/>
        <s v="Suresh Kumar"/>
        <s v="Suresh Joshi"/>
        <s v="Vijay Menon"/>
        <s v="Suresh Das"/>
        <s v="Kavya Nair"/>
        <s v="Ravi Joshi"/>
        <s v="Divya Menon"/>
        <s v="Karthik Kumar"/>
        <s v="Kavya Bose"/>
        <s v="Meena Reddy"/>
        <s v="Ravi Patel"/>
        <s v="Suresh Sharma"/>
        <s v="Arun Singh"/>
        <s v="Vijay Nair"/>
        <s v="Vijay Reddy"/>
        <s v="Priya Sharma"/>
        <m/>
      </sharedItems>
    </cacheField>
    <cacheField name="PAN" numFmtId="0">
      <sharedItems containsBlank="1"/>
    </cacheField>
    <cacheField name="Tax Amount" numFmtId="0">
      <sharedItems containsString="0" containsBlank="1" containsNumber="1" minValue="1072.1099999999999" maxValue="49535.49"/>
    </cacheField>
    <cacheField name="Tax Type" numFmtId="0">
      <sharedItems containsBlank="1" count="5">
        <s v="GST"/>
        <s v="Income Tax"/>
        <s v="Property Tax"/>
        <s v="Sales Tax"/>
        <m/>
      </sharedItems>
    </cacheField>
    <cacheField name="Status" numFmtId="0">
      <sharedItems containsBlank="1" count="4">
        <s v="Pending"/>
        <s v="Paid"/>
        <s v="Overdue"/>
        <m/>
      </sharedItems>
    </cacheField>
    <cacheField name="Assessment Year" numFmtId="0">
      <sharedItems containsBlank="1" count="5">
        <s v="2024-25"/>
        <s v="2021-22"/>
        <s v="2022-23"/>
        <s v="2023-24"/>
        <m/>
      </sharedItems>
    </cacheField>
    <cacheField name="State" numFmtId="0">
      <sharedItems containsBlank="1" count="9">
        <s v="Kerala"/>
        <s v="Delhi"/>
        <s v="Gujarat"/>
        <s v="Rajasthan"/>
        <s v="West Bengal"/>
        <s v="Tamil Nadu"/>
        <s v="Maharashtra"/>
        <s v="Karnataka"/>
        <m/>
      </sharedItems>
    </cacheField>
    <cacheField name="MonthYear" numFmtId="0">
      <sharedItems containsNonDate="0" containsDate="1" containsString="0" containsBlank="1" minDate="2023-05-01T00:00:00" maxDate="2025-05-02T00:00:00" count="26">
        <d v="2025-01-01T00:00:00"/>
        <d v="2023-11-01T00:00:00"/>
        <d v="2023-10-01T00:00:00"/>
        <d v="2024-09-01T00:00:00"/>
        <d v="2025-05-01T00:00:00"/>
        <d v="2024-12-01T00:00:00"/>
        <d v="2023-06-01T00:00:00"/>
        <d v="2023-07-01T00:00:00"/>
        <d v="2025-03-01T00:00:00"/>
        <d v="2023-08-01T00:00:00"/>
        <d v="2024-04-01T00:00:00"/>
        <d v="2024-06-01T00:00:00"/>
        <d v="2024-08-01T00:00:00"/>
        <d v="2024-07-01T00:00:00"/>
        <d v="2023-09-01T00:00:00"/>
        <d v="2024-11-01T00:00:00"/>
        <d v="2025-04-01T00:00:00"/>
        <d v="2024-02-01T00:00:00"/>
        <d v="2025-02-01T00:00:00"/>
        <d v="2024-10-01T00:00:00"/>
        <d v="2024-05-01T00:00:00"/>
        <d v="2024-01-01T00:00:00"/>
        <d v="2024-03-01T00:00:00"/>
        <d v="2023-12-01T00:00:00"/>
        <d v="2023-05-01T00:00:00"/>
        <m/>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Lenovo" refreshedDate="45796.489099537037" createdVersion="5" refreshedVersion="5" minRefreshableVersion="3" recordCount="100">
  <cacheSource type="worksheet">
    <worksheetSource name="emissionsdata"/>
  </cacheSource>
  <cacheFields count="8">
    <cacheField name="Date" numFmtId="0">
      <sharedItems/>
    </cacheField>
    <cacheField name="Taxpayer Name" numFmtId="0">
      <sharedItems count="63">
        <s v="Anjali Menon"/>
        <s v="Priya Menon"/>
        <s v="Arun Sharma"/>
        <s v="Ravi Bose"/>
        <s v="Arun Reddy"/>
        <s v="Arun Joshi"/>
        <s v="Anjali Sharma"/>
        <s v="Kavya Sharma"/>
        <s v="Suresh Bose"/>
        <s v="Meena Bose"/>
        <s v="Kavya Menon"/>
        <s v="Kavya Reddy"/>
        <s v="Ravi Singh"/>
        <s v="Divya Kumar"/>
        <s v="Meena Nair"/>
        <s v="Priya Reddy"/>
        <s v="Arun Kumar"/>
        <s v="Arun Bose"/>
        <s v="Meena Menon"/>
        <s v="Meena Singh"/>
        <s v="Karthik Das"/>
        <s v="Divya Sharma"/>
        <s v="Karthik Singh"/>
        <s v="Karthik Nair"/>
        <s v="Vijay Joshi"/>
        <s v="Ravi Reddy"/>
        <s v="Divya Bose"/>
        <s v="Meena Kumar"/>
        <s v="Kavya Patel"/>
        <s v="Priya Patel"/>
        <s v="Kavya Joshi"/>
        <s v="Divya Patel"/>
        <s v="Arun Nair"/>
        <s v="Priya Das"/>
        <s v="Kavya Singh"/>
        <s v="Ravi Menon"/>
        <s v="Karthik Menon"/>
        <s v="Priya Kumar"/>
        <s v="Divya Joshi"/>
        <s v="Meena Patel"/>
        <s v="Suresh Nair"/>
        <s v="Priya Bose"/>
        <s v="Priya Singh"/>
        <s v="Meena Joshi"/>
        <s v="Anjali Reddy"/>
        <s v="Priya Nair"/>
        <s v="Anjali Patel"/>
        <s v="Suresh Kumar"/>
        <s v="Suresh Joshi"/>
        <s v="Vijay Menon"/>
        <s v="Suresh Das"/>
        <s v="Kavya Nair"/>
        <s v="Ravi Joshi"/>
        <s v="Divya Menon"/>
        <s v="Karthik Kumar"/>
        <s v="Kavya Bose"/>
        <s v="Meena Reddy"/>
        <s v="Ravi Patel"/>
        <s v="Suresh Sharma"/>
        <s v="Arun Singh"/>
        <s v="Vijay Nair"/>
        <s v="Vijay Reddy"/>
        <s v="Priya Sharma"/>
      </sharedItems>
    </cacheField>
    <cacheField name="PAN" numFmtId="0">
      <sharedItems/>
    </cacheField>
    <cacheField name="Tax Amount" numFmtId="0">
      <sharedItems containsSemiMixedTypes="0" containsString="0" containsNumber="1" minValue="1072.1099999999999" maxValue="49535.49"/>
    </cacheField>
    <cacheField name="Tax Type" numFmtId="0">
      <sharedItems count="4">
        <s v="GST"/>
        <s v="Income Tax"/>
        <s v="Property Tax"/>
        <s v="Sales Tax"/>
      </sharedItems>
    </cacheField>
    <cacheField name="Status" numFmtId="0">
      <sharedItems count="3">
        <s v="Pending"/>
        <s v="Paid"/>
        <s v="Overdue"/>
      </sharedItems>
    </cacheField>
    <cacheField name="Assessment Year" numFmtId="0">
      <sharedItems count="4">
        <s v="2024-25"/>
        <s v="2021-22"/>
        <s v="2022-23"/>
        <s v="2023-24"/>
      </sharedItems>
    </cacheField>
    <cacheField name="State" numFmtId="0">
      <sharedItems count="8">
        <s v="Kerala"/>
        <s v="Delhi"/>
        <s v="Gujarat"/>
        <s v="Rajasthan"/>
        <s v="West Bengal"/>
        <s v="Tamil Nadu"/>
        <s v="Maharashtra"/>
        <s v="Karnata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1">
  <r>
    <s v="04-01-2025"/>
    <x v="0"/>
    <s v="ABCDE0005F"/>
    <n v="42935.95"/>
    <x v="0"/>
    <x v="0"/>
    <x v="0"/>
    <x v="0"/>
    <x v="0"/>
  </r>
  <r>
    <s v="01-11-2023"/>
    <x v="1"/>
    <s v="ABCDE0007F"/>
    <n v="10277.9"/>
    <x v="0"/>
    <x v="1"/>
    <x v="1"/>
    <x v="1"/>
    <x v="1"/>
  </r>
  <r>
    <s v="08-10-2023"/>
    <x v="2"/>
    <s v="ABCDE0011F"/>
    <n v="48355.57"/>
    <x v="0"/>
    <x v="2"/>
    <x v="2"/>
    <x v="2"/>
    <x v="2"/>
  </r>
  <r>
    <s v="10-11-2023"/>
    <x v="3"/>
    <s v="ABCDE0012F"/>
    <n v="1072.1099999999999"/>
    <x v="0"/>
    <x v="2"/>
    <x v="2"/>
    <x v="0"/>
    <x v="1"/>
  </r>
  <r>
    <s v="20-09-2024"/>
    <x v="4"/>
    <s v="ABCDE0019F"/>
    <n v="28581.55"/>
    <x v="0"/>
    <x v="2"/>
    <x v="0"/>
    <x v="3"/>
    <x v="3"/>
  </r>
  <r>
    <s v="01-09-2024"/>
    <x v="5"/>
    <s v="ABCDE0025F"/>
    <n v="25258.98"/>
    <x v="0"/>
    <x v="2"/>
    <x v="2"/>
    <x v="1"/>
    <x v="3"/>
  </r>
  <r>
    <s v="11-11-2023"/>
    <x v="3"/>
    <s v="ABCDE0035F"/>
    <n v="48732.47"/>
    <x v="0"/>
    <x v="1"/>
    <x v="3"/>
    <x v="1"/>
    <x v="1"/>
  </r>
  <r>
    <s v="15-05-2025"/>
    <x v="6"/>
    <s v="ABCDE0039F"/>
    <n v="34347.769999999997"/>
    <x v="0"/>
    <x v="0"/>
    <x v="2"/>
    <x v="4"/>
    <x v="4"/>
  </r>
  <r>
    <s v="07-12-2024"/>
    <x v="7"/>
    <s v="ABCDE0040F"/>
    <n v="47713.73"/>
    <x v="0"/>
    <x v="2"/>
    <x v="2"/>
    <x v="3"/>
    <x v="5"/>
  </r>
  <r>
    <s v="16-06-2023"/>
    <x v="8"/>
    <s v="ABCDE0042F"/>
    <n v="47867.61"/>
    <x v="0"/>
    <x v="1"/>
    <x v="1"/>
    <x v="5"/>
    <x v="6"/>
  </r>
  <r>
    <s v="17-07-2023"/>
    <x v="9"/>
    <s v="ABCDE0044F"/>
    <n v="16097.19"/>
    <x v="0"/>
    <x v="2"/>
    <x v="1"/>
    <x v="6"/>
    <x v="7"/>
  </r>
  <r>
    <s v="06-03-2025"/>
    <x v="10"/>
    <s v="ABCDE0055F"/>
    <n v="29248.44"/>
    <x v="0"/>
    <x v="2"/>
    <x v="1"/>
    <x v="5"/>
    <x v="8"/>
  </r>
  <r>
    <s v="10-01-2025"/>
    <x v="11"/>
    <s v="ABCDE0056F"/>
    <n v="4853.97"/>
    <x v="0"/>
    <x v="2"/>
    <x v="0"/>
    <x v="4"/>
    <x v="0"/>
  </r>
  <r>
    <s v="24-07-2023"/>
    <x v="12"/>
    <s v="ABCDE0057F"/>
    <n v="26955.67"/>
    <x v="0"/>
    <x v="2"/>
    <x v="3"/>
    <x v="1"/>
    <x v="7"/>
  </r>
  <r>
    <s v="29-08-2023"/>
    <x v="3"/>
    <s v="ABCDE0060F"/>
    <n v="34658.99"/>
    <x v="0"/>
    <x v="1"/>
    <x v="1"/>
    <x v="6"/>
    <x v="9"/>
  </r>
  <r>
    <s v="13-04-2024"/>
    <x v="13"/>
    <s v="ABCDE0061F"/>
    <n v="45262.45"/>
    <x v="0"/>
    <x v="2"/>
    <x v="2"/>
    <x v="6"/>
    <x v="10"/>
  </r>
  <r>
    <s v="23-06-2024"/>
    <x v="14"/>
    <s v="ABCDE0065F"/>
    <n v="15553.95"/>
    <x v="0"/>
    <x v="2"/>
    <x v="2"/>
    <x v="1"/>
    <x v="11"/>
  </r>
  <r>
    <s v="19-08-2024"/>
    <x v="15"/>
    <s v="ABCDE0066F"/>
    <n v="38314.75"/>
    <x v="0"/>
    <x v="1"/>
    <x v="2"/>
    <x v="5"/>
    <x v="12"/>
  </r>
  <r>
    <s v="30-07-2024"/>
    <x v="16"/>
    <s v="ABCDE0071F"/>
    <n v="14827.25"/>
    <x v="0"/>
    <x v="1"/>
    <x v="3"/>
    <x v="6"/>
    <x v="13"/>
  </r>
  <r>
    <s v="07-09-2023"/>
    <x v="17"/>
    <s v="ABCDE0072F"/>
    <n v="33586.199999999997"/>
    <x v="0"/>
    <x v="2"/>
    <x v="3"/>
    <x v="5"/>
    <x v="14"/>
  </r>
  <r>
    <s v="07-11-2024"/>
    <x v="18"/>
    <s v="ABCDE0073F"/>
    <n v="18561.169999999998"/>
    <x v="0"/>
    <x v="1"/>
    <x v="1"/>
    <x v="0"/>
    <x v="15"/>
  </r>
  <r>
    <s v="24-11-2024"/>
    <x v="19"/>
    <s v="ABCDE0076F"/>
    <n v="47653.21"/>
    <x v="0"/>
    <x v="0"/>
    <x v="3"/>
    <x v="3"/>
    <x v="15"/>
  </r>
  <r>
    <s v="26-01-2025"/>
    <x v="1"/>
    <s v="ABCDE0077F"/>
    <n v="20953.18"/>
    <x v="0"/>
    <x v="1"/>
    <x v="2"/>
    <x v="1"/>
    <x v="0"/>
  </r>
  <r>
    <s v="11-06-2023"/>
    <x v="20"/>
    <s v="ABCDE0079F"/>
    <n v="23708.31"/>
    <x v="0"/>
    <x v="0"/>
    <x v="3"/>
    <x v="5"/>
    <x v="6"/>
  </r>
  <r>
    <s v="05-04-2025"/>
    <x v="9"/>
    <s v="ABCDE0083F"/>
    <n v="13466.33"/>
    <x v="0"/>
    <x v="0"/>
    <x v="0"/>
    <x v="6"/>
    <x v="16"/>
  </r>
  <r>
    <s v="08-02-2024"/>
    <x v="21"/>
    <s v="ABCDE0085F"/>
    <n v="47153.94"/>
    <x v="0"/>
    <x v="2"/>
    <x v="2"/>
    <x v="6"/>
    <x v="17"/>
  </r>
  <r>
    <s v="05-06-2024"/>
    <x v="22"/>
    <s v="ABCDE0088F"/>
    <n v="18763.73"/>
    <x v="0"/>
    <x v="1"/>
    <x v="2"/>
    <x v="0"/>
    <x v="11"/>
  </r>
  <r>
    <s v="15-02-2025"/>
    <x v="23"/>
    <s v="ABCDE0089F"/>
    <n v="35749.040000000001"/>
    <x v="0"/>
    <x v="1"/>
    <x v="3"/>
    <x v="1"/>
    <x v="18"/>
  </r>
  <r>
    <s v="08-05-2025"/>
    <x v="24"/>
    <s v="ABCDE0098F"/>
    <n v="45646.3"/>
    <x v="0"/>
    <x v="1"/>
    <x v="0"/>
    <x v="3"/>
    <x v="4"/>
  </r>
  <r>
    <s v="01-06-2024"/>
    <x v="25"/>
    <s v="ABCDE0010F"/>
    <n v="35196.22"/>
    <x v="1"/>
    <x v="1"/>
    <x v="0"/>
    <x v="3"/>
    <x v="11"/>
  </r>
  <r>
    <s v="04-01-2025"/>
    <x v="26"/>
    <s v="ABCDE0013F"/>
    <n v="25911.13"/>
    <x v="1"/>
    <x v="1"/>
    <x v="0"/>
    <x v="6"/>
    <x v="0"/>
  </r>
  <r>
    <s v="14-08-2023"/>
    <x v="27"/>
    <s v="ABCDE0015F"/>
    <n v="17014.45"/>
    <x v="1"/>
    <x v="0"/>
    <x v="0"/>
    <x v="6"/>
    <x v="9"/>
  </r>
  <r>
    <s v="26-10-2024"/>
    <x v="28"/>
    <s v="ABCDE0017F"/>
    <n v="48775.95"/>
    <x v="1"/>
    <x v="1"/>
    <x v="3"/>
    <x v="4"/>
    <x v="19"/>
  </r>
  <r>
    <s v="11-10-2023"/>
    <x v="29"/>
    <s v="ABCDE0022F"/>
    <n v="36990.97"/>
    <x v="1"/>
    <x v="0"/>
    <x v="1"/>
    <x v="1"/>
    <x v="2"/>
  </r>
  <r>
    <s v="14-02-2024"/>
    <x v="1"/>
    <s v="ABCDE0026F"/>
    <n v="4452.45"/>
    <x v="1"/>
    <x v="0"/>
    <x v="1"/>
    <x v="2"/>
    <x v="17"/>
  </r>
  <r>
    <s v="22-05-2024"/>
    <x v="30"/>
    <s v="ABCDE0027F"/>
    <n v="11363.55"/>
    <x v="1"/>
    <x v="2"/>
    <x v="0"/>
    <x v="0"/>
    <x v="20"/>
  </r>
  <r>
    <s v="08-12-2024"/>
    <x v="13"/>
    <s v="ABCDE0030F"/>
    <n v="21275.93"/>
    <x v="1"/>
    <x v="2"/>
    <x v="1"/>
    <x v="5"/>
    <x v="5"/>
  </r>
  <r>
    <s v="17-11-2023"/>
    <x v="31"/>
    <s v="ABCDE0033F"/>
    <n v="1280.69"/>
    <x v="1"/>
    <x v="1"/>
    <x v="1"/>
    <x v="5"/>
    <x v="1"/>
  </r>
  <r>
    <s v="10-03-2025"/>
    <x v="32"/>
    <s v="ABCDE0036F"/>
    <n v="44983.35"/>
    <x v="1"/>
    <x v="0"/>
    <x v="0"/>
    <x v="6"/>
    <x v="8"/>
  </r>
  <r>
    <s v="06-05-2024"/>
    <x v="33"/>
    <s v="ABCDE0045F"/>
    <n v="46531.79"/>
    <x v="1"/>
    <x v="2"/>
    <x v="3"/>
    <x v="2"/>
    <x v="20"/>
  </r>
  <r>
    <s v="28-02-2024"/>
    <x v="34"/>
    <s v="ABCDE0048F"/>
    <n v="8543.2099999999991"/>
    <x v="1"/>
    <x v="2"/>
    <x v="1"/>
    <x v="0"/>
    <x v="17"/>
  </r>
  <r>
    <s v="06-07-2023"/>
    <x v="35"/>
    <s v="ABCDE0049F"/>
    <n v="43598.17"/>
    <x v="1"/>
    <x v="2"/>
    <x v="0"/>
    <x v="0"/>
    <x v="7"/>
  </r>
  <r>
    <s v="24-09-2024"/>
    <x v="36"/>
    <s v="ABCDE0052F"/>
    <n v="14393.15"/>
    <x v="1"/>
    <x v="2"/>
    <x v="2"/>
    <x v="5"/>
    <x v="3"/>
  </r>
  <r>
    <s v="04-12-2024"/>
    <x v="37"/>
    <s v="ABCDE0067F"/>
    <n v="28297.03"/>
    <x v="1"/>
    <x v="1"/>
    <x v="1"/>
    <x v="7"/>
    <x v="5"/>
  </r>
  <r>
    <s v="23-09-2023"/>
    <x v="21"/>
    <s v="ABCDE0070F"/>
    <n v="36536.21"/>
    <x v="1"/>
    <x v="2"/>
    <x v="1"/>
    <x v="7"/>
    <x v="14"/>
  </r>
  <r>
    <s v="10-09-2023"/>
    <x v="20"/>
    <s v="ABCDE0075F"/>
    <n v="32169.72"/>
    <x v="1"/>
    <x v="1"/>
    <x v="3"/>
    <x v="0"/>
    <x v="14"/>
  </r>
  <r>
    <s v="10-02-2025"/>
    <x v="38"/>
    <s v="ABCDE0078F"/>
    <n v="1862.96"/>
    <x v="1"/>
    <x v="1"/>
    <x v="1"/>
    <x v="5"/>
    <x v="18"/>
  </r>
  <r>
    <s v="21-02-2024"/>
    <x v="20"/>
    <s v="ABCDE0081F"/>
    <n v="36180.980000000003"/>
    <x v="1"/>
    <x v="0"/>
    <x v="2"/>
    <x v="3"/>
    <x v="17"/>
  </r>
  <r>
    <s v="26-10-2023"/>
    <x v="39"/>
    <s v="ABCDE0082F"/>
    <n v="17424.68"/>
    <x v="1"/>
    <x v="1"/>
    <x v="2"/>
    <x v="2"/>
    <x v="2"/>
  </r>
  <r>
    <s v="09-02-2024"/>
    <x v="34"/>
    <s v="ABCDE0087F"/>
    <n v="43530.52"/>
    <x v="1"/>
    <x v="0"/>
    <x v="2"/>
    <x v="7"/>
    <x v="17"/>
  </r>
  <r>
    <s v="22-12-2024"/>
    <x v="40"/>
    <s v="ABCDE0090F"/>
    <n v="49239.93"/>
    <x v="1"/>
    <x v="1"/>
    <x v="1"/>
    <x v="1"/>
    <x v="5"/>
  </r>
  <r>
    <s v="22-04-2025"/>
    <x v="0"/>
    <s v="ABCDE0092F"/>
    <n v="33870.629999999997"/>
    <x v="1"/>
    <x v="0"/>
    <x v="2"/>
    <x v="0"/>
    <x v="16"/>
  </r>
  <r>
    <s v="14-06-2023"/>
    <x v="41"/>
    <s v="ABCDE0099F"/>
    <n v="30837.51"/>
    <x v="1"/>
    <x v="1"/>
    <x v="1"/>
    <x v="7"/>
    <x v="6"/>
  </r>
  <r>
    <s v="22-02-2025"/>
    <x v="25"/>
    <s v="ABCDE0001F"/>
    <n v="35837.07"/>
    <x v="2"/>
    <x v="1"/>
    <x v="2"/>
    <x v="7"/>
    <x v="18"/>
  </r>
  <r>
    <s v="25-04-2024"/>
    <x v="42"/>
    <s v="ABCDE0002F"/>
    <n v="34238.18"/>
    <x v="2"/>
    <x v="2"/>
    <x v="3"/>
    <x v="3"/>
    <x v="10"/>
  </r>
  <r>
    <s v="25-03-2025"/>
    <x v="32"/>
    <s v="ABCDE0003F"/>
    <n v="11268.42"/>
    <x v="2"/>
    <x v="2"/>
    <x v="0"/>
    <x v="1"/>
    <x v="8"/>
  </r>
  <r>
    <s v="21-02-2025"/>
    <x v="43"/>
    <s v="ABCDE0004F"/>
    <n v="16560.27"/>
    <x v="2"/>
    <x v="1"/>
    <x v="2"/>
    <x v="5"/>
    <x v="18"/>
  </r>
  <r>
    <s v="21-10-2024"/>
    <x v="36"/>
    <s v="ABCDE0006F"/>
    <n v="41991.49"/>
    <x v="2"/>
    <x v="1"/>
    <x v="2"/>
    <x v="4"/>
    <x v="19"/>
  </r>
  <r>
    <s v="09-09-2024"/>
    <x v="44"/>
    <s v="ABCDE0009F"/>
    <n v="10162.780000000001"/>
    <x v="2"/>
    <x v="1"/>
    <x v="0"/>
    <x v="3"/>
    <x v="3"/>
  </r>
  <r>
    <s v="24-01-2024"/>
    <x v="45"/>
    <s v="ABCDE0014F"/>
    <n v="26244.37"/>
    <x v="2"/>
    <x v="0"/>
    <x v="1"/>
    <x v="3"/>
    <x v="21"/>
  </r>
  <r>
    <s v="05-05-2025"/>
    <x v="8"/>
    <s v="ABCDE0016F"/>
    <n v="17630.18"/>
    <x v="2"/>
    <x v="2"/>
    <x v="2"/>
    <x v="6"/>
    <x v="4"/>
  </r>
  <r>
    <s v="06-06-2024"/>
    <x v="46"/>
    <s v="ABCDE0023F"/>
    <n v="5856.76"/>
    <x v="2"/>
    <x v="2"/>
    <x v="0"/>
    <x v="1"/>
    <x v="11"/>
  </r>
  <r>
    <s v="22-09-2024"/>
    <x v="47"/>
    <s v="ABCDE0024F"/>
    <n v="7730.49"/>
    <x v="2"/>
    <x v="2"/>
    <x v="0"/>
    <x v="1"/>
    <x v="3"/>
  </r>
  <r>
    <s v="30-03-2024"/>
    <x v="48"/>
    <s v="ABCDE0029F"/>
    <n v="29891.06"/>
    <x v="2"/>
    <x v="0"/>
    <x v="0"/>
    <x v="6"/>
    <x v="22"/>
  </r>
  <r>
    <s v="24-03-2024"/>
    <x v="20"/>
    <s v="ABCDE0031F"/>
    <n v="20033.3"/>
    <x v="2"/>
    <x v="1"/>
    <x v="1"/>
    <x v="0"/>
    <x v="22"/>
  </r>
  <r>
    <s v="03-12-2024"/>
    <x v="46"/>
    <s v="ABCDE0032F"/>
    <n v="23815.23"/>
    <x v="2"/>
    <x v="1"/>
    <x v="2"/>
    <x v="1"/>
    <x v="5"/>
  </r>
  <r>
    <s v="03-03-2025"/>
    <x v="7"/>
    <s v="ABCDE0034F"/>
    <n v="9911.85"/>
    <x v="2"/>
    <x v="0"/>
    <x v="1"/>
    <x v="6"/>
    <x v="8"/>
  </r>
  <r>
    <s v="17-06-2023"/>
    <x v="30"/>
    <s v="ABCDE0047F"/>
    <n v="37201.120000000003"/>
    <x v="2"/>
    <x v="1"/>
    <x v="3"/>
    <x v="7"/>
    <x v="6"/>
  </r>
  <r>
    <s v="21-12-2023"/>
    <x v="9"/>
    <s v="ABCDE0050F"/>
    <n v="2032.54"/>
    <x v="2"/>
    <x v="0"/>
    <x v="0"/>
    <x v="5"/>
    <x v="23"/>
  </r>
  <r>
    <s v="30-09-2024"/>
    <x v="49"/>
    <s v="ABCDE0051F"/>
    <n v="19072.96"/>
    <x v="2"/>
    <x v="0"/>
    <x v="1"/>
    <x v="7"/>
    <x v="3"/>
  </r>
  <r>
    <s v="04-09-2023"/>
    <x v="20"/>
    <s v="ABCDE0054F"/>
    <n v="41736.71"/>
    <x v="2"/>
    <x v="2"/>
    <x v="0"/>
    <x v="6"/>
    <x v="14"/>
  </r>
  <r>
    <s v="11-06-2023"/>
    <x v="28"/>
    <s v="ABCDE0058F"/>
    <n v="4237.28"/>
    <x v="2"/>
    <x v="0"/>
    <x v="2"/>
    <x v="3"/>
    <x v="6"/>
  </r>
  <r>
    <s v="24-08-2023"/>
    <x v="43"/>
    <s v="ABCDE0059F"/>
    <n v="27919.94"/>
    <x v="2"/>
    <x v="0"/>
    <x v="1"/>
    <x v="0"/>
    <x v="9"/>
  </r>
  <r>
    <s v="29-01-2025"/>
    <x v="22"/>
    <s v="ABCDE0062F"/>
    <n v="38757"/>
    <x v="2"/>
    <x v="1"/>
    <x v="2"/>
    <x v="7"/>
    <x v="0"/>
  </r>
  <r>
    <s v="01-09-2023"/>
    <x v="50"/>
    <s v="ABCDE0063F"/>
    <n v="16699.32"/>
    <x v="2"/>
    <x v="2"/>
    <x v="3"/>
    <x v="3"/>
    <x v="14"/>
  </r>
  <r>
    <s v="03-10-2024"/>
    <x v="51"/>
    <s v="ABCDE0068F"/>
    <n v="3813.45"/>
    <x v="2"/>
    <x v="0"/>
    <x v="2"/>
    <x v="7"/>
    <x v="19"/>
  </r>
  <r>
    <s v="17-07-2024"/>
    <x v="2"/>
    <s v="ABCDE0069F"/>
    <n v="21695.85"/>
    <x v="2"/>
    <x v="2"/>
    <x v="0"/>
    <x v="3"/>
    <x v="13"/>
  </r>
  <r>
    <s v="05-10-2024"/>
    <x v="44"/>
    <s v="ABCDE0080F"/>
    <n v="49535.49"/>
    <x v="2"/>
    <x v="0"/>
    <x v="0"/>
    <x v="2"/>
    <x v="19"/>
  </r>
  <r>
    <s v="28-04-2025"/>
    <x v="52"/>
    <s v="ABCDE0086F"/>
    <n v="9487.6"/>
    <x v="2"/>
    <x v="2"/>
    <x v="3"/>
    <x v="7"/>
    <x v="16"/>
  </r>
  <r>
    <s v="15-08-2023"/>
    <x v="53"/>
    <s v="ABCDE0091F"/>
    <n v="43094.26"/>
    <x v="2"/>
    <x v="1"/>
    <x v="1"/>
    <x v="3"/>
    <x v="9"/>
  </r>
  <r>
    <s v="07-06-2024"/>
    <x v="3"/>
    <s v="ABCDE0093F"/>
    <n v="16043.88"/>
    <x v="2"/>
    <x v="1"/>
    <x v="3"/>
    <x v="6"/>
    <x v="11"/>
  </r>
  <r>
    <s v="29-07-2024"/>
    <x v="2"/>
    <s v="ABCDE0095F"/>
    <n v="38585.760000000002"/>
    <x v="2"/>
    <x v="0"/>
    <x v="2"/>
    <x v="2"/>
    <x v="13"/>
  </r>
  <r>
    <s v="20-05-2023"/>
    <x v="54"/>
    <s v="ABCDE0096F"/>
    <n v="14556.78"/>
    <x v="2"/>
    <x v="1"/>
    <x v="3"/>
    <x v="4"/>
    <x v="24"/>
  </r>
  <r>
    <s v="15-05-2025"/>
    <x v="55"/>
    <s v="ABCDE0000F"/>
    <n v="18557.439999999999"/>
    <x v="3"/>
    <x v="1"/>
    <x v="0"/>
    <x v="7"/>
    <x v="4"/>
  </r>
  <r>
    <s v="28-05-2024"/>
    <x v="27"/>
    <s v="ABCDE0008F"/>
    <n v="21590.240000000002"/>
    <x v="3"/>
    <x v="1"/>
    <x v="2"/>
    <x v="3"/>
    <x v="20"/>
  </r>
  <r>
    <s v="18-01-2024"/>
    <x v="41"/>
    <s v="ABCDE0018F"/>
    <n v="16330.26"/>
    <x v="3"/>
    <x v="2"/>
    <x v="0"/>
    <x v="5"/>
    <x v="21"/>
  </r>
  <r>
    <s v="13-08-2023"/>
    <x v="56"/>
    <s v="ABCDE0020F"/>
    <n v="9932.14"/>
    <x v="3"/>
    <x v="0"/>
    <x v="3"/>
    <x v="5"/>
    <x v="9"/>
  </r>
  <r>
    <s v="11-04-2025"/>
    <x v="57"/>
    <s v="ABCDE0021F"/>
    <n v="33379.61"/>
    <x v="3"/>
    <x v="0"/>
    <x v="2"/>
    <x v="1"/>
    <x v="16"/>
  </r>
  <r>
    <s v="10-08-2024"/>
    <x v="58"/>
    <s v="ABCDE0028F"/>
    <n v="24180.45"/>
    <x v="3"/>
    <x v="0"/>
    <x v="0"/>
    <x v="5"/>
    <x v="12"/>
  </r>
  <r>
    <s v="30-11-2024"/>
    <x v="47"/>
    <s v="ABCDE0037F"/>
    <n v="4106.57"/>
    <x v="3"/>
    <x v="0"/>
    <x v="0"/>
    <x v="1"/>
    <x v="15"/>
  </r>
  <r>
    <s v="02-02-2025"/>
    <x v="42"/>
    <s v="ABCDE0038F"/>
    <n v="16915.53"/>
    <x v="3"/>
    <x v="0"/>
    <x v="0"/>
    <x v="5"/>
    <x v="18"/>
  </r>
  <r>
    <s v="13-01-2025"/>
    <x v="52"/>
    <s v="ABCDE0041F"/>
    <n v="34595.54"/>
    <x v="3"/>
    <x v="0"/>
    <x v="3"/>
    <x v="6"/>
    <x v="0"/>
  </r>
  <r>
    <s v="10-10-2024"/>
    <x v="52"/>
    <s v="ABCDE0043F"/>
    <n v="13089.12"/>
    <x v="3"/>
    <x v="0"/>
    <x v="2"/>
    <x v="7"/>
    <x v="19"/>
  </r>
  <r>
    <s v="28-11-2023"/>
    <x v="38"/>
    <s v="ABCDE0046F"/>
    <n v="15994.94"/>
    <x v="3"/>
    <x v="0"/>
    <x v="3"/>
    <x v="2"/>
    <x v="1"/>
  </r>
  <r>
    <s v="07-07-2024"/>
    <x v="59"/>
    <s v="ABCDE0053F"/>
    <n v="32011.72"/>
    <x v="3"/>
    <x v="1"/>
    <x v="3"/>
    <x v="1"/>
    <x v="13"/>
  </r>
  <r>
    <s v="19-10-2023"/>
    <x v="51"/>
    <s v="ABCDE0064F"/>
    <n v="23897.89"/>
    <x v="3"/>
    <x v="1"/>
    <x v="1"/>
    <x v="0"/>
    <x v="2"/>
  </r>
  <r>
    <s v="15-01-2024"/>
    <x v="60"/>
    <s v="ABCDE0074F"/>
    <n v="27999.19"/>
    <x v="3"/>
    <x v="1"/>
    <x v="0"/>
    <x v="2"/>
    <x v="21"/>
  </r>
  <r>
    <s v="29-03-2024"/>
    <x v="61"/>
    <s v="ABCDE0084F"/>
    <n v="9686.98"/>
    <x v="3"/>
    <x v="2"/>
    <x v="2"/>
    <x v="6"/>
    <x v="22"/>
  </r>
  <r>
    <s v="23-08-2023"/>
    <x v="62"/>
    <s v="ABCDE0094F"/>
    <n v="1126.58"/>
    <x v="3"/>
    <x v="2"/>
    <x v="0"/>
    <x v="0"/>
    <x v="9"/>
  </r>
  <r>
    <s v="07-02-2024"/>
    <x v="22"/>
    <s v="ABCDE0097F"/>
    <n v="17996.39"/>
    <x v="3"/>
    <x v="2"/>
    <x v="2"/>
    <x v="5"/>
    <x v="17"/>
  </r>
  <r>
    <m/>
    <x v="63"/>
    <m/>
    <m/>
    <x v="4"/>
    <x v="3"/>
    <x v="4"/>
    <x v="8"/>
    <x v="25"/>
  </r>
</pivotCacheRecords>
</file>

<file path=xl/pivotCache/pivotCacheRecords2.xml><?xml version="1.0" encoding="utf-8"?>
<pivotCacheRecords xmlns="http://schemas.openxmlformats.org/spreadsheetml/2006/main" xmlns:r="http://schemas.openxmlformats.org/officeDocument/2006/relationships" count="100">
  <r>
    <s v="04-01-2025"/>
    <x v="0"/>
    <s v="ABCDE0005F"/>
    <n v="42935.95"/>
    <x v="0"/>
    <x v="0"/>
    <x v="0"/>
    <x v="0"/>
  </r>
  <r>
    <s v="01-11-2023"/>
    <x v="1"/>
    <s v="ABCDE0007F"/>
    <n v="10277.9"/>
    <x v="0"/>
    <x v="1"/>
    <x v="1"/>
    <x v="1"/>
  </r>
  <r>
    <s v="08-10-2023"/>
    <x v="2"/>
    <s v="ABCDE0011F"/>
    <n v="48355.57"/>
    <x v="0"/>
    <x v="2"/>
    <x v="2"/>
    <x v="2"/>
  </r>
  <r>
    <s v="10-11-2023"/>
    <x v="3"/>
    <s v="ABCDE0012F"/>
    <n v="1072.1099999999999"/>
    <x v="0"/>
    <x v="2"/>
    <x v="2"/>
    <x v="0"/>
  </r>
  <r>
    <s v="20-09-2024"/>
    <x v="4"/>
    <s v="ABCDE0019F"/>
    <n v="28581.55"/>
    <x v="0"/>
    <x v="2"/>
    <x v="0"/>
    <x v="3"/>
  </r>
  <r>
    <s v="01-09-2024"/>
    <x v="5"/>
    <s v="ABCDE0025F"/>
    <n v="25258.98"/>
    <x v="0"/>
    <x v="2"/>
    <x v="2"/>
    <x v="1"/>
  </r>
  <r>
    <s v="11-11-2023"/>
    <x v="3"/>
    <s v="ABCDE0035F"/>
    <n v="48732.47"/>
    <x v="0"/>
    <x v="1"/>
    <x v="3"/>
    <x v="1"/>
  </r>
  <r>
    <s v="15-05-2025"/>
    <x v="6"/>
    <s v="ABCDE0039F"/>
    <n v="34347.769999999997"/>
    <x v="0"/>
    <x v="0"/>
    <x v="2"/>
    <x v="4"/>
  </r>
  <r>
    <s v="07-12-2024"/>
    <x v="7"/>
    <s v="ABCDE0040F"/>
    <n v="47713.73"/>
    <x v="0"/>
    <x v="2"/>
    <x v="2"/>
    <x v="3"/>
  </r>
  <r>
    <s v="16-06-2023"/>
    <x v="8"/>
    <s v="ABCDE0042F"/>
    <n v="47867.61"/>
    <x v="0"/>
    <x v="1"/>
    <x v="1"/>
    <x v="5"/>
  </r>
  <r>
    <s v="17-07-2023"/>
    <x v="9"/>
    <s v="ABCDE0044F"/>
    <n v="16097.19"/>
    <x v="0"/>
    <x v="2"/>
    <x v="1"/>
    <x v="6"/>
  </r>
  <r>
    <s v="06-03-2025"/>
    <x v="10"/>
    <s v="ABCDE0055F"/>
    <n v="29248.44"/>
    <x v="0"/>
    <x v="2"/>
    <x v="1"/>
    <x v="5"/>
  </r>
  <r>
    <s v="10-01-2025"/>
    <x v="11"/>
    <s v="ABCDE0056F"/>
    <n v="4853.97"/>
    <x v="0"/>
    <x v="2"/>
    <x v="0"/>
    <x v="4"/>
  </r>
  <r>
    <s v="24-07-2023"/>
    <x v="12"/>
    <s v="ABCDE0057F"/>
    <n v="26955.67"/>
    <x v="0"/>
    <x v="2"/>
    <x v="3"/>
    <x v="1"/>
  </r>
  <r>
    <s v="29-08-2023"/>
    <x v="3"/>
    <s v="ABCDE0060F"/>
    <n v="34658.99"/>
    <x v="0"/>
    <x v="1"/>
    <x v="1"/>
    <x v="6"/>
  </r>
  <r>
    <s v="13-04-2024"/>
    <x v="13"/>
    <s v="ABCDE0061F"/>
    <n v="45262.45"/>
    <x v="0"/>
    <x v="2"/>
    <x v="2"/>
    <x v="6"/>
  </r>
  <r>
    <s v="23-06-2024"/>
    <x v="14"/>
    <s v="ABCDE0065F"/>
    <n v="15553.95"/>
    <x v="0"/>
    <x v="2"/>
    <x v="2"/>
    <x v="1"/>
  </r>
  <r>
    <s v="19-08-2024"/>
    <x v="15"/>
    <s v="ABCDE0066F"/>
    <n v="38314.75"/>
    <x v="0"/>
    <x v="1"/>
    <x v="2"/>
    <x v="5"/>
  </r>
  <r>
    <s v="30-07-2024"/>
    <x v="16"/>
    <s v="ABCDE0071F"/>
    <n v="14827.25"/>
    <x v="0"/>
    <x v="1"/>
    <x v="3"/>
    <x v="6"/>
  </r>
  <r>
    <s v="07-09-2023"/>
    <x v="17"/>
    <s v="ABCDE0072F"/>
    <n v="33586.199999999997"/>
    <x v="0"/>
    <x v="2"/>
    <x v="3"/>
    <x v="5"/>
  </r>
  <r>
    <s v="07-11-2024"/>
    <x v="18"/>
    <s v="ABCDE0073F"/>
    <n v="18561.169999999998"/>
    <x v="0"/>
    <x v="1"/>
    <x v="1"/>
    <x v="0"/>
  </r>
  <r>
    <s v="24-11-2024"/>
    <x v="19"/>
    <s v="ABCDE0076F"/>
    <n v="47653.21"/>
    <x v="0"/>
    <x v="0"/>
    <x v="3"/>
    <x v="3"/>
  </r>
  <r>
    <s v="26-01-2025"/>
    <x v="1"/>
    <s v="ABCDE0077F"/>
    <n v="20953.18"/>
    <x v="0"/>
    <x v="1"/>
    <x v="2"/>
    <x v="1"/>
  </r>
  <r>
    <s v="11-06-2023"/>
    <x v="20"/>
    <s v="ABCDE0079F"/>
    <n v="23708.31"/>
    <x v="0"/>
    <x v="0"/>
    <x v="3"/>
    <x v="5"/>
  </r>
  <r>
    <s v="05-04-2025"/>
    <x v="9"/>
    <s v="ABCDE0083F"/>
    <n v="13466.33"/>
    <x v="0"/>
    <x v="0"/>
    <x v="0"/>
    <x v="6"/>
  </r>
  <r>
    <s v="08-02-2024"/>
    <x v="21"/>
    <s v="ABCDE0085F"/>
    <n v="47153.94"/>
    <x v="0"/>
    <x v="2"/>
    <x v="2"/>
    <x v="6"/>
  </r>
  <r>
    <s v="05-06-2024"/>
    <x v="22"/>
    <s v="ABCDE0088F"/>
    <n v="18763.73"/>
    <x v="0"/>
    <x v="1"/>
    <x v="2"/>
    <x v="0"/>
  </r>
  <r>
    <s v="15-02-2025"/>
    <x v="23"/>
    <s v="ABCDE0089F"/>
    <n v="35749.040000000001"/>
    <x v="0"/>
    <x v="1"/>
    <x v="3"/>
    <x v="1"/>
  </r>
  <r>
    <s v="08-05-2025"/>
    <x v="24"/>
    <s v="ABCDE0098F"/>
    <n v="45646.3"/>
    <x v="0"/>
    <x v="1"/>
    <x v="0"/>
    <x v="3"/>
  </r>
  <r>
    <s v="01-06-2024"/>
    <x v="25"/>
    <s v="ABCDE0010F"/>
    <n v="35196.22"/>
    <x v="1"/>
    <x v="1"/>
    <x v="0"/>
    <x v="3"/>
  </r>
  <r>
    <s v="04-01-2025"/>
    <x v="26"/>
    <s v="ABCDE0013F"/>
    <n v="25911.13"/>
    <x v="1"/>
    <x v="1"/>
    <x v="0"/>
    <x v="6"/>
  </r>
  <r>
    <s v="14-08-2023"/>
    <x v="27"/>
    <s v="ABCDE0015F"/>
    <n v="17014.45"/>
    <x v="1"/>
    <x v="0"/>
    <x v="0"/>
    <x v="6"/>
  </r>
  <r>
    <s v="26-10-2024"/>
    <x v="28"/>
    <s v="ABCDE0017F"/>
    <n v="48775.95"/>
    <x v="1"/>
    <x v="1"/>
    <x v="3"/>
    <x v="4"/>
  </r>
  <r>
    <s v="11-10-2023"/>
    <x v="29"/>
    <s v="ABCDE0022F"/>
    <n v="36990.97"/>
    <x v="1"/>
    <x v="0"/>
    <x v="1"/>
    <x v="1"/>
  </r>
  <r>
    <s v="14-02-2024"/>
    <x v="1"/>
    <s v="ABCDE0026F"/>
    <n v="4452.45"/>
    <x v="1"/>
    <x v="0"/>
    <x v="1"/>
    <x v="2"/>
  </r>
  <r>
    <s v="22-05-2024"/>
    <x v="30"/>
    <s v="ABCDE0027F"/>
    <n v="11363.55"/>
    <x v="1"/>
    <x v="2"/>
    <x v="0"/>
    <x v="0"/>
  </r>
  <r>
    <s v="08-12-2024"/>
    <x v="13"/>
    <s v="ABCDE0030F"/>
    <n v="21275.93"/>
    <x v="1"/>
    <x v="2"/>
    <x v="1"/>
    <x v="5"/>
  </r>
  <r>
    <s v="17-11-2023"/>
    <x v="31"/>
    <s v="ABCDE0033F"/>
    <n v="1280.69"/>
    <x v="1"/>
    <x v="1"/>
    <x v="1"/>
    <x v="5"/>
  </r>
  <r>
    <s v="10-03-2025"/>
    <x v="32"/>
    <s v="ABCDE0036F"/>
    <n v="44983.35"/>
    <x v="1"/>
    <x v="0"/>
    <x v="0"/>
    <x v="6"/>
  </r>
  <r>
    <s v="06-05-2024"/>
    <x v="33"/>
    <s v="ABCDE0045F"/>
    <n v="46531.79"/>
    <x v="1"/>
    <x v="2"/>
    <x v="3"/>
    <x v="2"/>
  </r>
  <r>
    <s v="28-02-2024"/>
    <x v="34"/>
    <s v="ABCDE0048F"/>
    <n v="8543.2099999999991"/>
    <x v="1"/>
    <x v="2"/>
    <x v="1"/>
    <x v="0"/>
  </r>
  <r>
    <s v="06-07-2023"/>
    <x v="35"/>
    <s v="ABCDE0049F"/>
    <n v="43598.17"/>
    <x v="1"/>
    <x v="2"/>
    <x v="0"/>
    <x v="0"/>
  </r>
  <r>
    <s v="24-09-2024"/>
    <x v="36"/>
    <s v="ABCDE0052F"/>
    <n v="14393.15"/>
    <x v="1"/>
    <x v="2"/>
    <x v="2"/>
    <x v="5"/>
  </r>
  <r>
    <s v="04-12-2024"/>
    <x v="37"/>
    <s v="ABCDE0067F"/>
    <n v="28297.03"/>
    <x v="1"/>
    <x v="1"/>
    <x v="1"/>
    <x v="7"/>
  </r>
  <r>
    <s v="23-09-2023"/>
    <x v="21"/>
    <s v="ABCDE0070F"/>
    <n v="36536.21"/>
    <x v="1"/>
    <x v="2"/>
    <x v="1"/>
    <x v="7"/>
  </r>
  <r>
    <s v="10-09-2023"/>
    <x v="20"/>
    <s v="ABCDE0075F"/>
    <n v="32169.72"/>
    <x v="1"/>
    <x v="1"/>
    <x v="3"/>
    <x v="0"/>
  </r>
  <r>
    <s v="10-02-2025"/>
    <x v="38"/>
    <s v="ABCDE0078F"/>
    <n v="1862.96"/>
    <x v="1"/>
    <x v="1"/>
    <x v="1"/>
    <x v="5"/>
  </r>
  <r>
    <s v="21-02-2024"/>
    <x v="20"/>
    <s v="ABCDE0081F"/>
    <n v="36180.980000000003"/>
    <x v="1"/>
    <x v="0"/>
    <x v="2"/>
    <x v="3"/>
  </r>
  <r>
    <s v="26-10-2023"/>
    <x v="39"/>
    <s v="ABCDE0082F"/>
    <n v="17424.68"/>
    <x v="1"/>
    <x v="1"/>
    <x v="2"/>
    <x v="2"/>
  </r>
  <r>
    <s v="09-02-2024"/>
    <x v="34"/>
    <s v="ABCDE0087F"/>
    <n v="43530.52"/>
    <x v="1"/>
    <x v="0"/>
    <x v="2"/>
    <x v="7"/>
  </r>
  <r>
    <s v="22-12-2024"/>
    <x v="40"/>
    <s v="ABCDE0090F"/>
    <n v="49239.93"/>
    <x v="1"/>
    <x v="1"/>
    <x v="1"/>
    <x v="1"/>
  </r>
  <r>
    <s v="22-04-2025"/>
    <x v="0"/>
    <s v="ABCDE0092F"/>
    <n v="33870.629999999997"/>
    <x v="1"/>
    <x v="0"/>
    <x v="2"/>
    <x v="0"/>
  </r>
  <r>
    <s v="14-06-2023"/>
    <x v="41"/>
    <s v="ABCDE0099F"/>
    <n v="30837.51"/>
    <x v="1"/>
    <x v="1"/>
    <x v="1"/>
    <x v="7"/>
  </r>
  <r>
    <s v="22-02-2025"/>
    <x v="25"/>
    <s v="ABCDE0001F"/>
    <n v="35837.07"/>
    <x v="2"/>
    <x v="1"/>
    <x v="2"/>
    <x v="7"/>
  </r>
  <r>
    <s v="25-04-2024"/>
    <x v="42"/>
    <s v="ABCDE0002F"/>
    <n v="34238.18"/>
    <x v="2"/>
    <x v="2"/>
    <x v="3"/>
    <x v="3"/>
  </r>
  <r>
    <s v="25-03-2025"/>
    <x v="32"/>
    <s v="ABCDE0003F"/>
    <n v="11268.42"/>
    <x v="2"/>
    <x v="2"/>
    <x v="0"/>
    <x v="1"/>
  </r>
  <r>
    <s v="21-02-2025"/>
    <x v="43"/>
    <s v="ABCDE0004F"/>
    <n v="16560.27"/>
    <x v="2"/>
    <x v="1"/>
    <x v="2"/>
    <x v="5"/>
  </r>
  <r>
    <s v="21-10-2024"/>
    <x v="36"/>
    <s v="ABCDE0006F"/>
    <n v="41991.49"/>
    <x v="2"/>
    <x v="1"/>
    <x v="2"/>
    <x v="4"/>
  </r>
  <r>
    <s v="09-09-2024"/>
    <x v="44"/>
    <s v="ABCDE0009F"/>
    <n v="10162.780000000001"/>
    <x v="2"/>
    <x v="1"/>
    <x v="0"/>
    <x v="3"/>
  </r>
  <r>
    <s v="24-01-2024"/>
    <x v="45"/>
    <s v="ABCDE0014F"/>
    <n v="26244.37"/>
    <x v="2"/>
    <x v="0"/>
    <x v="1"/>
    <x v="3"/>
  </r>
  <r>
    <s v="05-05-2025"/>
    <x v="8"/>
    <s v="ABCDE0016F"/>
    <n v="17630.18"/>
    <x v="2"/>
    <x v="2"/>
    <x v="2"/>
    <x v="6"/>
  </r>
  <r>
    <s v="06-06-2024"/>
    <x v="46"/>
    <s v="ABCDE0023F"/>
    <n v="5856.76"/>
    <x v="2"/>
    <x v="2"/>
    <x v="0"/>
    <x v="1"/>
  </r>
  <r>
    <s v="22-09-2024"/>
    <x v="47"/>
    <s v="ABCDE0024F"/>
    <n v="7730.49"/>
    <x v="2"/>
    <x v="2"/>
    <x v="0"/>
    <x v="1"/>
  </r>
  <r>
    <s v="30-03-2024"/>
    <x v="48"/>
    <s v="ABCDE0029F"/>
    <n v="29891.06"/>
    <x v="2"/>
    <x v="0"/>
    <x v="0"/>
    <x v="6"/>
  </r>
  <r>
    <s v="24-03-2024"/>
    <x v="20"/>
    <s v="ABCDE0031F"/>
    <n v="20033.3"/>
    <x v="2"/>
    <x v="1"/>
    <x v="1"/>
    <x v="0"/>
  </r>
  <r>
    <s v="03-12-2024"/>
    <x v="46"/>
    <s v="ABCDE0032F"/>
    <n v="23815.23"/>
    <x v="2"/>
    <x v="1"/>
    <x v="2"/>
    <x v="1"/>
  </r>
  <r>
    <s v="03-03-2025"/>
    <x v="7"/>
    <s v="ABCDE0034F"/>
    <n v="9911.85"/>
    <x v="2"/>
    <x v="0"/>
    <x v="1"/>
    <x v="6"/>
  </r>
  <r>
    <s v="17-06-2023"/>
    <x v="30"/>
    <s v="ABCDE0047F"/>
    <n v="37201.120000000003"/>
    <x v="2"/>
    <x v="1"/>
    <x v="3"/>
    <x v="7"/>
  </r>
  <r>
    <s v="21-12-2023"/>
    <x v="9"/>
    <s v="ABCDE0050F"/>
    <n v="2032.54"/>
    <x v="2"/>
    <x v="0"/>
    <x v="0"/>
    <x v="5"/>
  </r>
  <r>
    <s v="30-09-2024"/>
    <x v="49"/>
    <s v="ABCDE0051F"/>
    <n v="19072.96"/>
    <x v="2"/>
    <x v="0"/>
    <x v="1"/>
    <x v="7"/>
  </r>
  <r>
    <s v="04-09-2023"/>
    <x v="20"/>
    <s v="ABCDE0054F"/>
    <n v="41736.71"/>
    <x v="2"/>
    <x v="2"/>
    <x v="0"/>
    <x v="6"/>
  </r>
  <r>
    <s v="11-06-2023"/>
    <x v="28"/>
    <s v="ABCDE0058F"/>
    <n v="4237.28"/>
    <x v="2"/>
    <x v="0"/>
    <x v="2"/>
    <x v="3"/>
  </r>
  <r>
    <s v="24-08-2023"/>
    <x v="43"/>
    <s v="ABCDE0059F"/>
    <n v="27919.94"/>
    <x v="2"/>
    <x v="0"/>
    <x v="1"/>
    <x v="0"/>
  </r>
  <r>
    <s v="29-01-2025"/>
    <x v="22"/>
    <s v="ABCDE0062F"/>
    <n v="38757"/>
    <x v="2"/>
    <x v="1"/>
    <x v="2"/>
    <x v="7"/>
  </r>
  <r>
    <s v="01-09-2023"/>
    <x v="50"/>
    <s v="ABCDE0063F"/>
    <n v="16699.32"/>
    <x v="2"/>
    <x v="2"/>
    <x v="3"/>
    <x v="3"/>
  </r>
  <r>
    <s v="03-10-2024"/>
    <x v="51"/>
    <s v="ABCDE0068F"/>
    <n v="3813.45"/>
    <x v="2"/>
    <x v="0"/>
    <x v="2"/>
    <x v="7"/>
  </r>
  <r>
    <s v="17-07-2024"/>
    <x v="2"/>
    <s v="ABCDE0069F"/>
    <n v="21695.85"/>
    <x v="2"/>
    <x v="2"/>
    <x v="0"/>
    <x v="3"/>
  </r>
  <r>
    <s v="05-10-2024"/>
    <x v="44"/>
    <s v="ABCDE0080F"/>
    <n v="49535.49"/>
    <x v="2"/>
    <x v="0"/>
    <x v="0"/>
    <x v="2"/>
  </r>
  <r>
    <s v="28-04-2025"/>
    <x v="52"/>
    <s v="ABCDE0086F"/>
    <n v="9487.6"/>
    <x v="2"/>
    <x v="2"/>
    <x v="3"/>
    <x v="7"/>
  </r>
  <r>
    <s v="15-08-2023"/>
    <x v="53"/>
    <s v="ABCDE0091F"/>
    <n v="43094.26"/>
    <x v="2"/>
    <x v="1"/>
    <x v="1"/>
    <x v="3"/>
  </r>
  <r>
    <s v="07-06-2024"/>
    <x v="3"/>
    <s v="ABCDE0093F"/>
    <n v="16043.88"/>
    <x v="2"/>
    <x v="1"/>
    <x v="3"/>
    <x v="6"/>
  </r>
  <r>
    <s v="29-07-2024"/>
    <x v="2"/>
    <s v="ABCDE0095F"/>
    <n v="38585.760000000002"/>
    <x v="2"/>
    <x v="0"/>
    <x v="2"/>
    <x v="2"/>
  </r>
  <r>
    <s v="20-05-2023"/>
    <x v="54"/>
    <s v="ABCDE0096F"/>
    <n v="14556.78"/>
    <x v="2"/>
    <x v="1"/>
    <x v="3"/>
    <x v="4"/>
  </r>
  <r>
    <s v="15-05-2025"/>
    <x v="55"/>
    <s v="ABCDE0000F"/>
    <n v="18557.439999999999"/>
    <x v="3"/>
    <x v="1"/>
    <x v="0"/>
    <x v="7"/>
  </r>
  <r>
    <s v="28-05-2024"/>
    <x v="27"/>
    <s v="ABCDE0008F"/>
    <n v="21590.240000000002"/>
    <x v="3"/>
    <x v="1"/>
    <x v="2"/>
    <x v="3"/>
  </r>
  <r>
    <s v="18-01-2024"/>
    <x v="41"/>
    <s v="ABCDE0018F"/>
    <n v="16330.26"/>
    <x v="3"/>
    <x v="2"/>
    <x v="0"/>
    <x v="5"/>
  </r>
  <r>
    <s v="13-08-2023"/>
    <x v="56"/>
    <s v="ABCDE0020F"/>
    <n v="9932.14"/>
    <x v="3"/>
    <x v="0"/>
    <x v="3"/>
    <x v="5"/>
  </r>
  <r>
    <s v="11-04-2025"/>
    <x v="57"/>
    <s v="ABCDE0021F"/>
    <n v="33379.61"/>
    <x v="3"/>
    <x v="0"/>
    <x v="2"/>
    <x v="1"/>
  </r>
  <r>
    <s v="10-08-2024"/>
    <x v="58"/>
    <s v="ABCDE0028F"/>
    <n v="24180.45"/>
    <x v="3"/>
    <x v="0"/>
    <x v="0"/>
    <x v="5"/>
  </r>
  <r>
    <s v="30-11-2024"/>
    <x v="47"/>
    <s v="ABCDE0037F"/>
    <n v="4106.57"/>
    <x v="3"/>
    <x v="0"/>
    <x v="0"/>
    <x v="1"/>
  </r>
  <r>
    <s v="02-02-2025"/>
    <x v="42"/>
    <s v="ABCDE0038F"/>
    <n v="16915.53"/>
    <x v="3"/>
    <x v="0"/>
    <x v="0"/>
    <x v="5"/>
  </r>
  <r>
    <s v="13-01-2025"/>
    <x v="52"/>
    <s v="ABCDE0041F"/>
    <n v="34595.54"/>
    <x v="3"/>
    <x v="0"/>
    <x v="3"/>
    <x v="6"/>
  </r>
  <r>
    <s v="10-10-2024"/>
    <x v="52"/>
    <s v="ABCDE0043F"/>
    <n v="13089.12"/>
    <x v="3"/>
    <x v="0"/>
    <x v="2"/>
    <x v="7"/>
  </r>
  <r>
    <s v="28-11-2023"/>
    <x v="38"/>
    <s v="ABCDE0046F"/>
    <n v="15994.94"/>
    <x v="3"/>
    <x v="0"/>
    <x v="3"/>
    <x v="2"/>
  </r>
  <r>
    <s v="07-07-2024"/>
    <x v="59"/>
    <s v="ABCDE0053F"/>
    <n v="32011.72"/>
    <x v="3"/>
    <x v="1"/>
    <x v="3"/>
    <x v="1"/>
  </r>
  <r>
    <s v="19-10-2023"/>
    <x v="51"/>
    <s v="ABCDE0064F"/>
    <n v="23897.89"/>
    <x v="3"/>
    <x v="1"/>
    <x v="1"/>
    <x v="0"/>
  </r>
  <r>
    <s v="15-01-2024"/>
    <x v="60"/>
    <s v="ABCDE0074F"/>
    <n v="27999.19"/>
    <x v="3"/>
    <x v="1"/>
    <x v="0"/>
    <x v="2"/>
  </r>
  <r>
    <s v="29-03-2024"/>
    <x v="61"/>
    <s v="ABCDE0084F"/>
    <n v="9686.98"/>
    <x v="3"/>
    <x v="2"/>
    <x v="2"/>
    <x v="6"/>
  </r>
  <r>
    <s v="23-08-2023"/>
    <x v="62"/>
    <s v="ABCDE0094F"/>
    <n v="1126.58"/>
    <x v="3"/>
    <x v="2"/>
    <x v="0"/>
    <x v="0"/>
  </r>
  <r>
    <s v="07-02-2024"/>
    <x v="22"/>
    <s v="ABCDE0097F"/>
    <n v="17996.39"/>
    <x v="3"/>
    <x v="2"/>
    <x v="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location ref="M10:Q15" firstHeaderRow="1" firstDataRow="2" firstDataCol="1"/>
  <pivotFields count="9">
    <pivotField showAll="0"/>
    <pivotField showAll="0"/>
    <pivotField showAll="0"/>
    <pivotField showAll="0"/>
    <pivotField axis="axisRow" showAll="0">
      <items count="6">
        <item x="0"/>
        <item x="1"/>
        <item x="2"/>
        <item x="3"/>
        <item h="1" x="4"/>
        <item t="default"/>
      </items>
    </pivotField>
    <pivotField axis="axisCol" showAll="0">
      <items count="5">
        <item x="2"/>
        <item x="1"/>
        <item x="0"/>
        <item x="3"/>
        <item t="default"/>
      </items>
    </pivotField>
    <pivotField showAll="0">
      <items count="6">
        <item h="1" x="1"/>
        <item x="2"/>
        <item h="1" x="3"/>
        <item h="1" x="0"/>
        <item h="1" x="4"/>
        <item t="default"/>
      </items>
    </pivotField>
    <pivotField showAll="0">
      <items count="10">
        <item h="1" x="1"/>
        <item x="2"/>
        <item h="1" x="7"/>
        <item h="1" x="0"/>
        <item h="1" x="6"/>
        <item h="1" x="3"/>
        <item h="1" x="5"/>
        <item h="1" x="4"/>
        <item h="1" x="8"/>
        <item t="default"/>
      </items>
    </pivotField>
    <pivotField showAll="0"/>
  </pivotFields>
  <rowFields count="1">
    <field x="4"/>
  </rowFields>
  <rowItems count="4">
    <i>
      <x/>
    </i>
    <i>
      <x v="1"/>
    </i>
    <i>
      <x v="2"/>
    </i>
    <i t="grand">
      <x/>
    </i>
  </rowItems>
  <colFields count="1">
    <field x="5"/>
  </colFields>
  <colItems count="4">
    <i>
      <x/>
    </i>
    <i>
      <x v="1"/>
    </i>
    <i>
      <x v="2"/>
    </i>
    <i t="grand">
      <x/>
    </i>
  </colItem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J37:L42" firstHeaderRow="1" firstDataRow="2" firstDataCol="1"/>
  <pivotFields count="9">
    <pivotField showAll="0"/>
    <pivotField showAll="0"/>
    <pivotField showAll="0"/>
    <pivotField dataField="1" showAll="0"/>
    <pivotField showAll="0"/>
    <pivotField axis="axisRow" showAll="0">
      <items count="5">
        <item x="2"/>
        <item x="1"/>
        <item x="0"/>
        <item h="1" x="3"/>
        <item t="default"/>
      </items>
    </pivotField>
    <pivotField axis="axisCol" showAll="0">
      <items count="6">
        <item h="1" x="1"/>
        <item x="2"/>
        <item h="1" x="3"/>
        <item h="1" x="0"/>
        <item h="1" x="4"/>
        <item t="default"/>
      </items>
    </pivotField>
    <pivotField showAll="0">
      <items count="10">
        <item h="1" x="1"/>
        <item x="2"/>
        <item h="1" x="7"/>
        <item h="1" x="0"/>
        <item h="1" x="6"/>
        <item h="1" x="3"/>
        <item h="1" x="5"/>
        <item h="1" x="4"/>
        <item h="1" x="8"/>
        <item t="default"/>
      </items>
    </pivotField>
    <pivotField showAll="0"/>
  </pivotFields>
  <rowFields count="1">
    <field x="5"/>
  </rowFields>
  <rowItems count="4">
    <i>
      <x/>
    </i>
    <i>
      <x v="1"/>
    </i>
    <i>
      <x v="2"/>
    </i>
    <i t="grand">
      <x/>
    </i>
  </rowItems>
  <colFields count="1">
    <field x="6"/>
  </colFields>
  <colItems count="2">
    <i>
      <x v="1"/>
    </i>
    <i t="grand">
      <x/>
    </i>
  </colItems>
  <dataFields count="1">
    <dataField name="Sum of Tax Amount" fld="3" baseField="5" baseItem="0" numFmtId="164"/>
  </dataFields>
  <formats count="1">
    <format dxfId="9">
      <pivotArea outline="0" collapsedLevelsAreSubtotals="1" fieldPosition="0"/>
    </format>
  </formats>
  <chartFormats count="10">
    <chartFormat chart="3" format="8" series="1">
      <pivotArea type="data" outline="0" fieldPosition="0">
        <references count="2">
          <reference field="4294967294" count="1" selected="0">
            <x v="0"/>
          </reference>
          <reference field="6" count="1" selected="0">
            <x v="0"/>
          </reference>
        </references>
      </pivotArea>
    </chartFormat>
    <chartFormat chart="3" format="9" series="1">
      <pivotArea type="data" outline="0" fieldPosition="0">
        <references count="2">
          <reference field="4294967294" count="1" selected="0">
            <x v="0"/>
          </reference>
          <reference field="6" count="1" selected="0">
            <x v="1"/>
          </reference>
        </references>
      </pivotArea>
    </chartFormat>
    <chartFormat chart="3" format="10" series="1">
      <pivotArea type="data" outline="0" fieldPosition="0">
        <references count="2">
          <reference field="4294967294" count="1" selected="0">
            <x v="0"/>
          </reference>
          <reference field="6" count="1" selected="0">
            <x v="2"/>
          </reference>
        </references>
      </pivotArea>
    </chartFormat>
    <chartFormat chart="3" format="11" series="1">
      <pivotArea type="data" outline="0" fieldPosition="0">
        <references count="2">
          <reference field="4294967294" count="1" selected="0">
            <x v="0"/>
          </reference>
          <reference field="6" count="1" selected="0">
            <x v="3"/>
          </reference>
        </references>
      </pivotArea>
    </chartFormat>
    <chartFormat chart="3" format="12">
      <pivotArea type="data" outline="0" fieldPosition="0">
        <references count="3">
          <reference field="4294967294" count="1" selected="0">
            <x v="0"/>
          </reference>
          <reference field="5" count="1" selected="0">
            <x v="2"/>
          </reference>
          <reference field="6" count="1" selected="0">
            <x v="3"/>
          </reference>
        </references>
      </pivotArea>
    </chartFormat>
    <chartFormat chart="3" format="13">
      <pivotArea type="data" outline="0" fieldPosition="0">
        <references count="3">
          <reference field="4294967294" count="1" selected="0">
            <x v="0"/>
          </reference>
          <reference field="5" count="1" selected="0">
            <x v="2"/>
          </reference>
          <reference field="6" count="1" selected="0">
            <x v="2"/>
          </reference>
        </references>
      </pivotArea>
    </chartFormat>
    <chartFormat chart="3" format="14">
      <pivotArea type="data" outline="0" fieldPosition="0">
        <references count="3">
          <reference field="4294967294" count="1" selected="0">
            <x v="0"/>
          </reference>
          <reference field="5" count="1" selected="0">
            <x v="1"/>
          </reference>
          <reference field="6" count="1" selected="0">
            <x v="1"/>
          </reference>
        </references>
      </pivotArea>
    </chartFormat>
    <chartFormat chart="3" format="15">
      <pivotArea type="data" outline="0" fieldPosition="0">
        <references count="3">
          <reference field="4294967294" count="1" selected="0">
            <x v="0"/>
          </reference>
          <reference field="5" count="1" selected="0">
            <x v="0"/>
          </reference>
          <reference field="6" count="1" selected="0">
            <x v="0"/>
          </reference>
        </references>
      </pivotArea>
    </chartFormat>
    <chartFormat chart="3" format="16">
      <pivotArea type="data" outline="0" fieldPosition="0">
        <references count="3">
          <reference field="4294967294" count="1" selected="0">
            <x v="0"/>
          </reference>
          <reference field="5" count="1" selected="0">
            <x v="0"/>
          </reference>
          <reference field="6" count="1" selected="0">
            <x v="2"/>
          </reference>
        </references>
      </pivotArea>
    </chartFormat>
    <chartFormat chart="3" format="17">
      <pivotArea type="data" outline="0" fieldPosition="0">
        <references count="3">
          <reference field="4294967294" count="1" selected="0">
            <x v="0"/>
          </reference>
          <reference field="5"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location ref="J61:K64" firstHeaderRow="1" firstDataRow="1" firstDataCol="1" rowPageCount="1" colPageCount="1"/>
  <pivotFields count="9">
    <pivotField showAll="0"/>
    <pivotField axis="axisRow" showAll="0">
      <items count="65">
        <item x="0"/>
        <item x="46"/>
        <item x="44"/>
        <item x="6"/>
        <item x="17"/>
        <item x="5"/>
        <item x="16"/>
        <item x="32"/>
        <item x="4"/>
        <item x="2"/>
        <item x="59"/>
        <item x="26"/>
        <item x="38"/>
        <item x="13"/>
        <item x="53"/>
        <item x="31"/>
        <item x="21"/>
        <item x="20"/>
        <item x="54"/>
        <item x="36"/>
        <item x="23"/>
        <item x="22"/>
        <item x="55"/>
        <item x="30"/>
        <item x="10"/>
        <item x="51"/>
        <item x="28"/>
        <item x="11"/>
        <item x="7"/>
        <item x="34"/>
        <item x="9"/>
        <item x="43"/>
        <item x="27"/>
        <item x="18"/>
        <item x="14"/>
        <item x="39"/>
        <item x="56"/>
        <item x="19"/>
        <item x="41"/>
        <item x="33"/>
        <item x="37"/>
        <item x="1"/>
        <item x="45"/>
        <item x="29"/>
        <item x="15"/>
        <item x="62"/>
        <item x="42"/>
        <item x="3"/>
        <item x="52"/>
        <item x="35"/>
        <item x="57"/>
        <item x="25"/>
        <item x="12"/>
        <item x="8"/>
        <item x="50"/>
        <item x="48"/>
        <item x="47"/>
        <item x="40"/>
        <item x="58"/>
        <item x="24"/>
        <item x="49"/>
        <item x="60"/>
        <item x="61"/>
        <item h="1" x="63"/>
        <item t="default"/>
      </items>
    </pivotField>
    <pivotField showAll="0"/>
    <pivotField dataField="1" showAll="0"/>
    <pivotField showAll="0"/>
    <pivotField showAll="0">
      <items count="5">
        <item x="2"/>
        <item x="1"/>
        <item x="0"/>
        <item h="1" x="3"/>
        <item t="default"/>
      </items>
    </pivotField>
    <pivotField axis="axisPage" multipleItemSelectionAllowed="1" showAll="0">
      <items count="6">
        <item h="1" x="1"/>
        <item x="2"/>
        <item h="1" x="3"/>
        <item h="1" x="0"/>
        <item h="1" x="4"/>
        <item t="default"/>
      </items>
    </pivotField>
    <pivotField showAll="0">
      <items count="10">
        <item h="1" x="1"/>
        <item x="2"/>
        <item h="1" x="7"/>
        <item h="1" x="0"/>
        <item h="1" x="6"/>
        <item h="1" x="3"/>
        <item h="1" x="5"/>
        <item h="1" x="4"/>
        <item h="1" x="8"/>
        <item t="default"/>
      </items>
    </pivotField>
    <pivotField showAll="0"/>
  </pivotFields>
  <rowFields count="1">
    <field x="1"/>
  </rowFields>
  <rowItems count="3">
    <i>
      <x v="9"/>
    </i>
    <i>
      <x v="35"/>
    </i>
    <i t="grand">
      <x/>
    </i>
  </rowItems>
  <colItems count="1">
    <i/>
  </colItems>
  <pageFields count="1">
    <pageField fld="6" hier="-1"/>
  </pageFields>
  <dataFields count="1">
    <dataField name="Sum of Tax Amount" fld="3" baseField="1" baseItem="0"/>
  </dataFields>
  <formats count="1">
    <format dxfId="1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location ref="A3:E8" firstHeaderRow="1" firstDataRow="2" firstDataCol="1"/>
  <pivotFields count="9">
    <pivotField showAll="0"/>
    <pivotField showAll="0"/>
    <pivotField showAll="0"/>
    <pivotField dataField="1" showAll="0"/>
    <pivotField axis="axisRow" showAll="0">
      <items count="6">
        <item x="0"/>
        <item x="1"/>
        <item x="2"/>
        <item x="3"/>
        <item h="1" x="4"/>
        <item t="default"/>
      </items>
    </pivotField>
    <pivotField axis="axisCol" showAll="0">
      <items count="5">
        <item x="2"/>
        <item x="1"/>
        <item x="0"/>
        <item h="1" x="3"/>
        <item t="default"/>
      </items>
    </pivotField>
    <pivotField showAll="0">
      <items count="6">
        <item h="1" x="1"/>
        <item x="2"/>
        <item h="1" x="3"/>
        <item h="1" x="0"/>
        <item h="1" x="4"/>
        <item t="default"/>
      </items>
    </pivotField>
    <pivotField showAll="0">
      <items count="10">
        <item h="1" x="1"/>
        <item x="2"/>
        <item h="1" x="7"/>
        <item h="1" x="0"/>
        <item h="1" x="6"/>
        <item h="1" x="3"/>
        <item h="1" x="5"/>
        <item h="1" x="4"/>
        <item h="1" x="8"/>
        <item t="default"/>
      </items>
    </pivotField>
    <pivotField showAll="0"/>
  </pivotFields>
  <rowFields count="1">
    <field x="4"/>
  </rowFields>
  <rowItems count="4">
    <i>
      <x/>
    </i>
    <i>
      <x v="1"/>
    </i>
    <i>
      <x v="2"/>
    </i>
    <i t="grand">
      <x/>
    </i>
  </rowItems>
  <colFields count="1">
    <field x="5"/>
  </colFields>
  <colItems count="4">
    <i>
      <x/>
    </i>
    <i>
      <x v="1"/>
    </i>
    <i>
      <x v="2"/>
    </i>
    <i t="grand">
      <x/>
    </i>
  </colItems>
  <dataFields count="1">
    <dataField name="Sum of Tax Amount" fld="3" baseField="4" baseItem="0" numFmtId="164"/>
  </dataFields>
  <formats count="1">
    <format dxfId="11">
      <pivotArea outline="0" collapsedLevelsAreSubtotals="1" fieldPosition="0"/>
    </format>
  </formats>
  <chartFormats count="7">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9" format="6" series="1">
      <pivotArea type="data" outline="0" fieldPosition="0">
        <references count="2">
          <reference field="4294967294" count="1" selected="0">
            <x v="0"/>
          </reference>
          <reference field="5" count="1" selected="0">
            <x v="0"/>
          </reference>
        </references>
      </pivotArea>
    </chartFormat>
    <chartFormat chart="9" format="7" series="1">
      <pivotArea type="data" outline="0" fieldPosition="0">
        <references count="2">
          <reference field="4294967294" count="1" selected="0">
            <x v="0"/>
          </reference>
          <reference field="5" count="1" selected="0">
            <x v="1"/>
          </reference>
        </references>
      </pivotArea>
    </chartFormat>
    <chartFormat chart="9" format="8"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location ref="A15:E18" firstHeaderRow="1" firstDataRow="2" firstDataCol="1"/>
  <pivotFields count="9">
    <pivotField showAll="0"/>
    <pivotField showAll="0"/>
    <pivotField showAll="0"/>
    <pivotField dataField="1" showAll="0"/>
    <pivotField axis="axisCol" showAll="0">
      <items count="6">
        <item x="0"/>
        <item x="1"/>
        <item x="2"/>
        <item x="3"/>
        <item h="1" x="4"/>
        <item t="default"/>
      </items>
    </pivotField>
    <pivotField showAll="0"/>
    <pivotField showAll="0">
      <items count="6">
        <item h="1" x="1"/>
        <item x="2"/>
        <item h="1" x="3"/>
        <item h="1" x="0"/>
        <item h="1" x="4"/>
        <item t="default"/>
      </items>
    </pivotField>
    <pivotField axis="axisRow" showAll="0">
      <items count="10">
        <item h="1" x="1"/>
        <item x="2"/>
        <item h="1" x="7"/>
        <item h="1" x="0"/>
        <item h="1" x="6"/>
        <item h="1" x="3"/>
        <item h="1" x="5"/>
        <item h="1" x="4"/>
        <item h="1" x="8"/>
        <item t="default"/>
      </items>
    </pivotField>
    <pivotField showAll="0"/>
  </pivotFields>
  <rowFields count="1">
    <field x="7"/>
  </rowFields>
  <rowItems count="2">
    <i>
      <x v="1"/>
    </i>
    <i t="grand">
      <x/>
    </i>
  </rowItems>
  <colFields count="1">
    <field x="4"/>
  </colFields>
  <colItems count="4">
    <i>
      <x/>
    </i>
    <i>
      <x v="1"/>
    </i>
    <i>
      <x v="2"/>
    </i>
    <i t="grand">
      <x/>
    </i>
  </colItems>
  <dataFields count="1">
    <dataField name="Sum of Tax Amount" fld="3" baseField="7" baseItem="0" numFmtId="164"/>
  </dataFields>
  <formats count="1">
    <format dxfId="12">
      <pivotArea outline="0" collapsedLevelsAreSubtotals="1" fieldPosition="0"/>
    </format>
  </formats>
  <chartFormats count="5">
    <chartFormat chart="2" format="8" series="1">
      <pivotArea type="data" outline="0" fieldPosition="0">
        <references count="2">
          <reference field="4294967294" count="1" selected="0">
            <x v="0"/>
          </reference>
          <reference field="4" count="1" selected="0">
            <x v="0"/>
          </reference>
        </references>
      </pivotArea>
    </chartFormat>
    <chartFormat chart="2" format="9" series="1">
      <pivotArea type="data" outline="0" fieldPosition="0">
        <references count="2">
          <reference field="4294967294" count="1" selected="0">
            <x v="0"/>
          </reference>
          <reference field="4" count="1" selected="0">
            <x v="1"/>
          </reference>
        </references>
      </pivotArea>
    </chartFormat>
    <chartFormat chart="2" format="10" series="1">
      <pivotArea type="data" outline="0" fieldPosition="0">
        <references count="2">
          <reference field="4294967294" count="1" selected="0">
            <x v="0"/>
          </reference>
          <reference field="4" count="1" selected="0">
            <x v="2"/>
          </reference>
        </references>
      </pivotArea>
    </chartFormat>
    <chartFormat chart="2" format="11" series="1">
      <pivotArea type="data" outline="0" fieldPosition="0">
        <references count="2">
          <reference field="4294967294" count="1" selected="0">
            <x v="0"/>
          </reference>
          <reference field="4" count="1" selected="0">
            <x v="3"/>
          </reference>
        </references>
      </pivotArea>
    </chartFormat>
    <chartFormat chart="2" format="12"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location ref="J3:K6" firstHeaderRow="1" firstDataRow="1" firstDataCol="1"/>
  <pivotFields count="9">
    <pivotField showAll="0"/>
    <pivotField showAll="0"/>
    <pivotField showAll="0"/>
    <pivotField dataField="1" showAll="0"/>
    <pivotField showAll="0"/>
    <pivotField showAll="0"/>
    <pivotField showAll="0">
      <items count="6">
        <item h="1" x="1"/>
        <item x="2"/>
        <item h="1" x="3"/>
        <item h="1" x="0"/>
        <item h="1" x="4"/>
        <item t="default"/>
      </items>
    </pivotField>
    <pivotField showAll="0">
      <items count="10">
        <item h="1" x="1"/>
        <item x="2"/>
        <item h="1" x="7"/>
        <item h="1" x="0"/>
        <item h="1" x="6"/>
        <item h="1" x="3"/>
        <item h="1" x="5"/>
        <item h="1" x="4"/>
        <item h="1" x="8"/>
        <item t="default"/>
      </items>
    </pivotField>
    <pivotField axis="axisRow" showAll="0">
      <items count="27">
        <item x="24"/>
        <item x="6"/>
        <item x="7"/>
        <item x="9"/>
        <item x="14"/>
        <item x="2"/>
        <item x="1"/>
        <item x="23"/>
        <item x="21"/>
        <item x="17"/>
        <item x="22"/>
        <item x="10"/>
        <item x="20"/>
        <item x="11"/>
        <item x="13"/>
        <item x="12"/>
        <item x="3"/>
        <item x="19"/>
        <item x="15"/>
        <item x="5"/>
        <item x="0"/>
        <item x="18"/>
        <item x="8"/>
        <item x="16"/>
        <item x="4"/>
        <item h="1" x="25"/>
        <item t="default"/>
      </items>
    </pivotField>
  </pivotFields>
  <rowFields count="1">
    <field x="8"/>
  </rowFields>
  <rowItems count="3">
    <i>
      <x v="5"/>
    </i>
    <i>
      <x v="14"/>
    </i>
    <i t="grand">
      <x/>
    </i>
  </rowItems>
  <colItems count="1">
    <i/>
  </colItems>
  <dataFields count="1">
    <dataField name="Sum of Tax Amount" fld="3" baseField="8" baseItem="0" numFmtId="164"/>
  </dataFields>
  <formats count="1">
    <format dxfId="1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J47:N50" firstHeaderRow="1" firstDataRow="2" firstDataCol="1"/>
  <pivotFields count="9">
    <pivotField showAll="0"/>
    <pivotField showAll="0"/>
    <pivotField showAll="0"/>
    <pivotField dataField="1" showAll="0"/>
    <pivotField showAll="0"/>
    <pivotField axis="axisCol" showAll="0">
      <items count="5">
        <item x="2"/>
        <item x="1"/>
        <item x="0"/>
        <item h="1" x="3"/>
        <item t="default"/>
      </items>
    </pivotField>
    <pivotField showAll="0">
      <items count="6">
        <item h="1" x="1"/>
        <item x="2"/>
        <item h="1" x="3"/>
        <item h="1" x="0"/>
        <item h="1" x="4"/>
        <item t="default"/>
      </items>
    </pivotField>
    <pivotField axis="axisRow" showAll="0">
      <items count="10">
        <item h="1" x="1"/>
        <item x="2"/>
        <item h="1" x="7"/>
        <item h="1" x="0"/>
        <item h="1" x="6"/>
        <item h="1" x="3"/>
        <item h="1" x="5"/>
        <item h="1" x="4"/>
        <item h="1" x="8"/>
        <item t="default"/>
      </items>
    </pivotField>
    <pivotField showAll="0"/>
  </pivotFields>
  <rowFields count="1">
    <field x="7"/>
  </rowFields>
  <rowItems count="2">
    <i>
      <x v="1"/>
    </i>
    <i t="grand">
      <x/>
    </i>
  </rowItems>
  <colFields count="1">
    <field x="5"/>
  </colFields>
  <colItems count="4">
    <i>
      <x/>
    </i>
    <i>
      <x v="1"/>
    </i>
    <i>
      <x v="2"/>
    </i>
    <i t="grand">
      <x/>
    </i>
  </colItems>
  <dataFields count="1">
    <dataField name="Sum of Tax Amount" fld="3" baseField="7" baseItem="0" numFmtId="164"/>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43:B46" firstHeaderRow="1" firstDataRow="1" firstDataCol="1"/>
  <pivotFields count="9">
    <pivotField showAll="0"/>
    <pivotField axis="axisRow" showAll="0">
      <items count="65">
        <item x="0"/>
        <item x="46"/>
        <item x="44"/>
        <item x="6"/>
        <item x="17"/>
        <item x="5"/>
        <item x="16"/>
        <item x="32"/>
        <item x="4"/>
        <item x="2"/>
        <item x="59"/>
        <item x="26"/>
        <item x="38"/>
        <item x="13"/>
        <item x="53"/>
        <item x="31"/>
        <item x="21"/>
        <item x="20"/>
        <item x="54"/>
        <item x="36"/>
        <item x="23"/>
        <item x="22"/>
        <item x="55"/>
        <item x="30"/>
        <item x="10"/>
        <item x="51"/>
        <item x="28"/>
        <item x="11"/>
        <item x="7"/>
        <item x="34"/>
        <item x="9"/>
        <item x="43"/>
        <item x="27"/>
        <item x="18"/>
        <item x="14"/>
        <item x="39"/>
        <item x="56"/>
        <item x="19"/>
        <item x="41"/>
        <item x="33"/>
        <item x="37"/>
        <item x="1"/>
        <item x="45"/>
        <item x="29"/>
        <item x="15"/>
        <item x="62"/>
        <item x="42"/>
        <item x="3"/>
        <item x="52"/>
        <item x="35"/>
        <item x="57"/>
        <item x="25"/>
        <item x="12"/>
        <item x="8"/>
        <item x="50"/>
        <item x="48"/>
        <item x="47"/>
        <item x="40"/>
        <item x="58"/>
        <item x="24"/>
        <item x="49"/>
        <item x="60"/>
        <item x="61"/>
        <item h="1" x="63"/>
        <item t="default"/>
      </items>
    </pivotField>
    <pivotField showAll="0"/>
    <pivotField dataField="1" showAll="0"/>
    <pivotField showAll="0"/>
    <pivotField showAll="0"/>
    <pivotField showAll="0">
      <items count="6">
        <item h="1" x="1"/>
        <item x="2"/>
        <item h="1" x="3"/>
        <item h="1" x="0"/>
        <item h="1" x="4"/>
        <item t="default"/>
      </items>
    </pivotField>
    <pivotField showAll="0">
      <items count="10">
        <item h="1" x="1"/>
        <item x="2"/>
        <item h="1" x="7"/>
        <item h="1" x="0"/>
        <item h="1" x="6"/>
        <item h="1" x="3"/>
        <item h="1" x="5"/>
        <item h="1" x="4"/>
        <item h="1" x="8"/>
        <item t="default"/>
      </items>
    </pivotField>
    <pivotField showAll="0"/>
  </pivotFields>
  <rowFields count="1">
    <field x="1"/>
  </rowFields>
  <rowItems count="3">
    <i>
      <x v="9"/>
    </i>
    <i>
      <x v="35"/>
    </i>
    <i t="grand">
      <x/>
    </i>
  </rowItems>
  <colItems count="1">
    <i/>
  </colItems>
  <dataFields count="1">
    <dataField name="Sum of Tax Amount" fld="3" baseField="1" baseItem="0" numFmtId="164"/>
  </dataFields>
  <formats count="1">
    <format dxfId="1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31:E34" firstHeaderRow="1" firstDataRow="2" firstDataCol="1"/>
  <pivotFields count="9">
    <pivotField showAll="0"/>
    <pivotField showAll="0"/>
    <pivotField dataField="1" showAll="0"/>
    <pivotField showAll="0"/>
    <pivotField axis="axisCol" showAll="0">
      <items count="6">
        <item x="0"/>
        <item x="1"/>
        <item x="2"/>
        <item x="3"/>
        <item h="1" x="4"/>
        <item t="default"/>
      </items>
    </pivotField>
    <pivotField showAll="0"/>
    <pivotField axis="axisRow" showAll="0">
      <items count="6">
        <item h="1" x="1"/>
        <item x="2"/>
        <item h="1" x="3"/>
        <item h="1" x="0"/>
        <item h="1" x="4"/>
        <item t="default"/>
      </items>
    </pivotField>
    <pivotField showAll="0">
      <items count="10">
        <item h="1" x="1"/>
        <item x="2"/>
        <item h="1" x="7"/>
        <item h="1" x="0"/>
        <item h="1" x="6"/>
        <item h="1" x="3"/>
        <item h="1" x="5"/>
        <item h="1" x="4"/>
        <item h="1" x="8"/>
        <item t="default"/>
      </items>
    </pivotField>
    <pivotField showAll="0"/>
  </pivotFields>
  <rowFields count="1">
    <field x="6"/>
  </rowFields>
  <rowItems count="2">
    <i>
      <x v="1"/>
    </i>
    <i t="grand">
      <x/>
    </i>
  </rowItems>
  <colFields count="1">
    <field x="4"/>
  </colFields>
  <colItems count="4">
    <i>
      <x/>
    </i>
    <i>
      <x v="1"/>
    </i>
    <i>
      <x v="2"/>
    </i>
    <i t="grand">
      <x/>
    </i>
  </colItems>
  <dataFields count="1">
    <dataField name="Count of PAN" fld="2" subtotal="count" baseField="0" baseItem="0"/>
  </dataFields>
  <chartFormats count="5">
    <chartFormat chart="3" format="8" series="1">
      <pivotArea type="data" outline="0" fieldPosition="0">
        <references count="2">
          <reference field="4294967294" count="1" selected="0">
            <x v="0"/>
          </reference>
          <reference field="4" count="1" selected="0">
            <x v="0"/>
          </reference>
        </references>
      </pivotArea>
    </chartFormat>
    <chartFormat chart="3" format="9" series="1">
      <pivotArea type="data" outline="0" fieldPosition="0">
        <references count="2">
          <reference field="4294967294" count="1" selected="0">
            <x v="0"/>
          </reference>
          <reference field="4" count="1" selected="0">
            <x v="1"/>
          </reference>
        </references>
      </pivotArea>
    </chartFormat>
    <chartFormat chart="3" format="10" series="1">
      <pivotArea type="data" outline="0" fieldPosition="0">
        <references count="2">
          <reference field="4294967294" count="1" selected="0">
            <x v="0"/>
          </reference>
          <reference field="4" count="1" selected="0">
            <x v="2"/>
          </reference>
        </references>
      </pivotArea>
    </chartFormat>
    <chartFormat chart="3" format="11" series="1">
      <pivotArea type="data" outline="0" fieldPosition="0">
        <references count="2">
          <reference field="4294967294" count="1" selected="0">
            <x v="0"/>
          </reference>
          <reference field="4" count="1" selected="0">
            <x v="3"/>
          </reference>
        </references>
      </pivotArea>
    </chartFormat>
    <chartFormat chart="3" format="12"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E9" firstHeaderRow="1" firstDataRow="2" firstDataCol="1"/>
  <pivotFields count="8">
    <pivotField showAll="0"/>
    <pivotField showAll="0"/>
    <pivotField showAll="0"/>
    <pivotField dataField="1" showAll="0"/>
    <pivotField axis="axisRow" showAll="0">
      <items count="5">
        <item x="0"/>
        <item x="1"/>
        <item x="2"/>
        <item x="3"/>
        <item t="default"/>
      </items>
    </pivotField>
    <pivotField axis="axisCol" showAll="0">
      <items count="4">
        <item x="2"/>
        <item x="1"/>
        <item x="0"/>
        <item t="default"/>
      </items>
    </pivotField>
    <pivotField showAll="0"/>
    <pivotField showAll="0"/>
  </pivotFields>
  <rowFields count="1">
    <field x="4"/>
  </rowFields>
  <rowItems count="5">
    <i>
      <x/>
    </i>
    <i>
      <x v="1"/>
    </i>
    <i>
      <x v="2"/>
    </i>
    <i>
      <x v="3"/>
    </i>
    <i t="grand">
      <x/>
    </i>
  </rowItems>
  <colFields count="1">
    <field x="5"/>
  </colFields>
  <colItems count="4">
    <i>
      <x/>
    </i>
    <i>
      <x v="1"/>
    </i>
    <i>
      <x v="2"/>
    </i>
    <i t="grand">
      <x/>
    </i>
  </colItems>
  <dataFields count="1">
    <dataField name="Sum of Tax Amount" fld="3" baseField="0" baseItem="0"/>
  </dataFields>
  <formats count="2">
    <format dxfId="4">
      <pivotArea collapsedLevelsAreSubtotals="1" fieldPosition="0">
        <references count="1">
          <reference field="4" count="0"/>
        </references>
      </pivotArea>
    </format>
    <format dxfId="3">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5"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17:E127" firstHeaderRow="1" firstDataRow="2" firstDataCol="1"/>
  <pivotFields count="8">
    <pivotField showAll="0"/>
    <pivotField showAll="0"/>
    <pivotField showAll="0"/>
    <pivotField dataField="1" showAll="0"/>
    <pivotField showAll="0">
      <items count="5">
        <item x="0"/>
        <item x="1"/>
        <item x="2"/>
        <item x="3"/>
        <item t="default"/>
      </items>
    </pivotField>
    <pivotField axis="axisCol" showAll="0">
      <items count="4">
        <item x="2"/>
        <item x="1"/>
        <item x="0"/>
        <item t="default"/>
      </items>
    </pivotField>
    <pivotField showAll="0">
      <items count="5">
        <item x="1"/>
        <item x="2"/>
        <item x="3"/>
        <item x="0"/>
        <item t="default"/>
      </items>
    </pivotField>
    <pivotField axis="axisRow" showAll="0">
      <items count="9">
        <item x="1"/>
        <item x="2"/>
        <item x="7"/>
        <item x="0"/>
        <item x="6"/>
        <item x="3"/>
        <item x="5"/>
        <item x="4"/>
        <item t="default"/>
      </items>
    </pivotField>
  </pivotFields>
  <rowFields count="1">
    <field x="7"/>
  </rowFields>
  <rowItems count="9">
    <i>
      <x/>
    </i>
    <i>
      <x v="1"/>
    </i>
    <i>
      <x v="2"/>
    </i>
    <i>
      <x v="3"/>
    </i>
    <i>
      <x v="4"/>
    </i>
    <i>
      <x v="5"/>
    </i>
    <i>
      <x v="6"/>
    </i>
    <i>
      <x v="7"/>
    </i>
    <i t="grand">
      <x/>
    </i>
  </rowItems>
  <colFields count="1">
    <field x="5"/>
  </colFields>
  <colItems count="4">
    <i>
      <x/>
    </i>
    <i>
      <x v="1"/>
    </i>
    <i>
      <x v="2"/>
    </i>
    <i t="grand">
      <x/>
    </i>
  </colItems>
  <dataFields count="1">
    <dataField name="Sum of Tax Amount" fld="3" baseField="0" baseItem="0" numFmtId="164"/>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49:B113" firstHeaderRow="1" firstDataRow="1" firstDataCol="1"/>
  <pivotFields count="8">
    <pivotField showAll="0"/>
    <pivotField axis="axisRow" showAll="0">
      <items count="64">
        <item x="0"/>
        <item x="46"/>
        <item x="44"/>
        <item x="6"/>
        <item x="17"/>
        <item x="5"/>
        <item x="16"/>
        <item x="32"/>
        <item x="4"/>
        <item x="2"/>
        <item x="59"/>
        <item x="26"/>
        <item x="38"/>
        <item x="13"/>
        <item x="53"/>
        <item x="31"/>
        <item x="21"/>
        <item x="20"/>
        <item x="54"/>
        <item x="36"/>
        <item x="23"/>
        <item x="22"/>
        <item x="55"/>
        <item x="30"/>
        <item x="10"/>
        <item x="51"/>
        <item x="28"/>
        <item x="11"/>
        <item x="7"/>
        <item x="34"/>
        <item x="9"/>
        <item x="43"/>
        <item x="27"/>
        <item x="18"/>
        <item x="14"/>
        <item x="39"/>
        <item x="56"/>
        <item x="19"/>
        <item x="41"/>
        <item x="33"/>
        <item x="37"/>
        <item x="1"/>
        <item x="45"/>
        <item x="29"/>
        <item x="15"/>
        <item x="62"/>
        <item x="42"/>
        <item x="3"/>
        <item x="52"/>
        <item x="35"/>
        <item x="57"/>
        <item x="25"/>
        <item x="12"/>
        <item x="8"/>
        <item x="50"/>
        <item x="48"/>
        <item x="47"/>
        <item x="40"/>
        <item x="58"/>
        <item x="24"/>
        <item x="49"/>
        <item x="60"/>
        <item x="61"/>
        <item t="default"/>
      </items>
    </pivotField>
    <pivotField showAll="0"/>
    <pivotField dataField="1" showAll="0"/>
    <pivotField showAll="0">
      <items count="5">
        <item x="0"/>
        <item x="1"/>
        <item x="2"/>
        <item x="3"/>
        <item t="default"/>
      </items>
    </pivotField>
    <pivotField showAll="0">
      <items count="4">
        <item x="2"/>
        <item x="1"/>
        <item x="0"/>
        <item t="default"/>
      </items>
    </pivotField>
    <pivotField showAll="0">
      <items count="5">
        <item x="1"/>
        <item x="2"/>
        <item x="3"/>
        <item x="0"/>
        <item t="default"/>
      </items>
    </pivotField>
    <pivotField showAll="0">
      <items count="9">
        <item x="1"/>
        <item x="2"/>
        <item x="7"/>
        <item x="0"/>
        <item x="6"/>
        <item x="3"/>
        <item x="5"/>
        <item x="4"/>
        <item t="default"/>
      </items>
    </pivotField>
  </pivotFields>
  <rowFields count="1">
    <field x="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Sum of Tax Amount" fld="3" baseField="0" baseItem="0" numFmtId="164"/>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40:F45" firstHeaderRow="1" firstDataRow="2" firstDataCol="1"/>
  <pivotFields count="8">
    <pivotField showAll="0"/>
    <pivotField showAll="0"/>
    <pivotField showAll="0"/>
    <pivotField dataField="1" showAll="0"/>
    <pivotField showAll="0">
      <items count="5">
        <item x="0"/>
        <item x="1"/>
        <item x="2"/>
        <item x="3"/>
        <item t="default"/>
      </items>
    </pivotField>
    <pivotField axis="axisRow" showAll="0">
      <items count="4">
        <item x="2"/>
        <item x="1"/>
        <item x="0"/>
        <item t="default"/>
      </items>
    </pivotField>
    <pivotField axis="axisCol" showAll="0">
      <items count="5">
        <item x="1"/>
        <item x="2"/>
        <item x="3"/>
        <item x="0"/>
        <item t="default"/>
      </items>
    </pivotField>
    <pivotField showAll="0">
      <items count="9">
        <item x="1"/>
        <item x="2"/>
        <item x="7"/>
        <item x="0"/>
        <item x="6"/>
        <item x="3"/>
        <item x="5"/>
        <item x="4"/>
        <item t="default"/>
      </items>
    </pivotField>
  </pivotFields>
  <rowFields count="1">
    <field x="5"/>
  </rowFields>
  <rowItems count="4">
    <i>
      <x/>
    </i>
    <i>
      <x v="1"/>
    </i>
    <i>
      <x v="2"/>
    </i>
    <i t="grand">
      <x/>
    </i>
  </rowItems>
  <colFields count="1">
    <field x="6"/>
  </colFields>
  <colItems count="5">
    <i>
      <x/>
    </i>
    <i>
      <x v="1"/>
    </i>
    <i>
      <x v="2"/>
    </i>
    <i>
      <x v="3"/>
    </i>
    <i t="grand">
      <x/>
    </i>
  </colItems>
  <dataFields count="1">
    <dataField name="Sum of Tax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29:F35" firstHeaderRow="1" firstDataRow="2" firstDataCol="1"/>
  <pivotFields count="8">
    <pivotField showAll="0"/>
    <pivotField showAll="0"/>
    <pivotField dataField="1" showAll="0"/>
    <pivotField showAll="0"/>
    <pivotField axis="axisCol" showAll="0">
      <items count="5">
        <item x="0"/>
        <item x="1"/>
        <item x="2"/>
        <item x="3"/>
        <item t="default"/>
      </items>
    </pivotField>
    <pivotField showAll="0">
      <items count="4">
        <item x="2"/>
        <item x="1"/>
        <item x="0"/>
        <item t="default"/>
      </items>
    </pivotField>
    <pivotField axis="axisRow" showAll="0">
      <items count="5">
        <item x="1"/>
        <item x="2"/>
        <item x="3"/>
        <item x="0"/>
        <item t="default"/>
      </items>
    </pivotField>
    <pivotField showAll="0">
      <items count="9">
        <item x="1"/>
        <item x="2"/>
        <item x="7"/>
        <item x="0"/>
        <item x="6"/>
        <item x="3"/>
        <item x="5"/>
        <item x="4"/>
        <item t="default"/>
      </items>
    </pivotField>
  </pivotFields>
  <rowFields count="1">
    <field x="6"/>
  </rowFields>
  <rowItems count="5">
    <i>
      <x/>
    </i>
    <i>
      <x v="1"/>
    </i>
    <i>
      <x v="2"/>
    </i>
    <i>
      <x v="3"/>
    </i>
    <i t="grand">
      <x/>
    </i>
  </rowItems>
  <colFields count="1">
    <field x="4"/>
  </colFields>
  <colItems count="5">
    <i>
      <x/>
    </i>
    <i>
      <x v="1"/>
    </i>
    <i>
      <x v="2"/>
    </i>
    <i>
      <x v="3"/>
    </i>
    <i t="grand">
      <x/>
    </i>
  </colItems>
  <dataFields count="1">
    <dataField name="Count of PAN"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4:F24" firstHeaderRow="1" firstDataRow="2" firstDataCol="1"/>
  <pivotFields count="8">
    <pivotField showAll="0"/>
    <pivotField showAll="0"/>
    <pivotField showAll="0"/>
    <pivotField dataField="1" showAll="0"/>
    <pivotField axis="axisCol" showAll="0">
      <items count="5">
        <item x="0"/>
        <item x="1"/>
        <item x="2"/>
        <item x="3"/>
        <item t="default"/>
      </items>
    </pivotField>
    <pivotField showAll="0">
      <items count="4">
        <item x="2"/>
        <item x="1"/>
        <item x="0"/>
        <item t="default"/>
      </items>
    </pivotField>
    <pivotField showAll="0"/>
    <pivotField axis="axisRow" showAll="0">
      <items count="9">
        <item x="1"/>
        <item x="2"/>
        <item x="7"/>
        <item x="0"/>
        <item x="6"/>
        <item x="3"/>
        <item x="5"/>
        <item x="4"/>
        <item t="default"/>
      </items>
    </pivotField>
  </pivotFields>
  <rowFields count="1">
    <field x="7"/>
  </rowFields>
  <rowItems count="9">
    <i>
      <x/>
    </i>
    <i>
      <x v="1"/>
    </i>
    <i>
      <x v="2"/>
    </i>
    <i>
      <x v="3"/>
    </i>
    <i>
      <x v="4"/>
    </i>
    <i>
      <x v="5"/>
    </i>
    <i>
      <x v="6"/>
    </i>
    <i>
      <x v="7"/>
    </i>
    <i t="grand">
      <x/>
    </i>
  </rowItems>
  <colFields count="1">
    <field x="4"/>
  </colFields>
  <colItems count="5">
    <i>
      <x/>
    </i>
    <i>
      <x v="1"/>
    </i>
    <i>
      <x v="2"/>
    </i>
    <i>
      <x v="3"/>
    </i>
    <i t="grand">
      <x/>
    </i>
  </colItems>
  <dataFields count="1">
    <dataField name="Sum of Tax Amount" fld="3" baseField="0" baseItem="0" numFmtId="164"/>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5" name="PivotTable7"/>
    <pivotTable tabId="5" name="PivotTable1"/>
    <pivotTable tabId="5" name="PivotTable2"/>
    <pivotTable tabId="5" name="PivotTable3"/>
    <pivotTable tabId="5" name="PivotTable4"/>
    <pivotTable tabId="5" name="PivotTable5"/>
    <pivotTable tabId="5" name="PivotTable6"/>
    <pivotTable tabId="5" name="PivotTable8"/>
    <pivotTable tabId="5" name="PivotTable9"/>
  </pivotTables>
  <data>
    <tabular pivotCacheId="1">
      <items count="9">
        <i x="1"/>
        <i x="2" s="1"/>
        <i x="7"/>
        <i x="0"/>
        <i x="6"/>
        <i x="3"/>
        <i x="5"/>
        <i x="4"/>
        <i x="8"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ssessment_Year" sourceName="Assessment Year">
  <pivotTables>
    <pivotTable tabId="5" name="PivotTable4"/>
    <pivotTable tabId="5" name="PivotTable1"/>
    <pivotTable tabId="5" name="PivotTable2"/>
    <pivotTable tabId="5" name="PivotTable3"/>
    <pivotTable tabId="5" name="PivotTable5"/>
    <pivotTable tabId="5" name="PivotTable6"/>
    <pivotTable tabId="5" name="PivotTable7"/>
    <pivotTable tabId="5" name="PivotTable8"/>
    <pivotTable tabId="5" name="PivotTable9"/>
  </pivotTables>
  <data>
    <tabular pivotCacheId="1">
      <items count="5">
        <i x="1"/>
        <i x="2" s="1"/>
        <i x="3"/>
        <i x="0"/>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e" cache="Slicer_State" caption="State" style="SlicerStyleDark4" rowHeight="241300"/>
  <slicer name="Assessment Year 1" cache="Slicer_Assessment_Year" caption="Assessment Year" rowHeight="241300"/>
</slicers>
</file>

<file path=xl/tables/table1.xml><?xml version="1.0" encoding="utf-8"?>
<table xmlns="http://schemas.openxmlformats.org/spreadsheetml/2006/main" id="1" name="emissionsdata" displayName="emissionsdata" ref="A1:H101" totalsRowShown="0" headerRowDxfId="2" headerRowBorderDxfId="1" tableBorderDxfId="0">
  <autoFilter ref="A1:H101"/>
  <sortState ref="A2:I101">
    <sortCondition ref="E1:E101"/>
  </sortState>
  <tableColumns count="8">
    <tableColumn id="1" name="Date"/>
    <tableColumn id="2" name="Taxpayer Name"/>
    <tableColumn id="3" name="PAN"/>
    <tableColumn id="4" name="Tax Amount"/>
    <tableColumn id="5" name="Tax Type"/>
    <tableColumn id="6" name="Status"/>
    <tableColumn id="7" name="Assessment Year"/>
    <tableColumn id="8" name="State"/>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4" Type="http://schemas.openxmlformats.org/officeDocument/2006/relationships/pivotTable" Target="../pivotTables/pivotTable1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64"/>
  <sheetViews>
    <sheetView showGridLines="0" tabSelected="1" topLeftCell="A37" workbookViewId="0">
      <selection activeCell="K45" sqref="J45:K45"/>
    </sheetView>
  </sheetViews>
  <sheetFormatPr defaultRowHeight="15" x14ac:dyDescent="0.25"/>
  <cols>
    <col min="1" max="1" width="13.140625" customWidth="1"/>
    <col min="2" max="2" width="18.42578125" customWidth="1"/>
    <col min="3" max="3" width="11" customWidth="1"/>
    <col min="4" max="4" width="12.140625" customWidth="1"/>
    <col min="5" max="6" width="11.28515625" customWidth="1"/>
    <col min="7" max="7" width="16.42578125" customWidth="1"/>
    <col min="10" max="10" width="16" customWidth="1"/>
    <col min="11" max="11" width="18.42578125" customWidth="1"/>
    <col min="12" max="12" width="13.28515625" customWidth="1"/>
    <col min="13" max="13" width="13.140625" customWidth="1"/>
    <col min="14" max="14" width="16.28515625" customWidth="1"/>
    <col min="15" max="15" width="4.85546875" customWidth="1"/>
    <col min="16" max="16" width="8.28515625" customWidth="1"/>
    <col min="17" max="17" width="11.28515625" customWidth="1"/>
  </cols>
  <sheetData>
    <row r="1" spans="1:17" ht="18.75" x14ac:dyDescent="0.3">
      <c r="A1" s="8" t="s">
        <v>292</v>
      </c>
      <c r="B1" s="8"/>
      <c r="C1" s="9"/>
      <c r="D1" s="11"/>
      <c r="E1">
        <v>5</v>
      </c>
      <c r="J1" s="10" t="s">
        <v>296</v>
      </c>
      <c r="K1" s="10"/>
    </row>
    <row r="3" spans="1:17" x14ac:dyDescent="0.25">
      <c r="A3" s="4" t="s">
        <v>290</v>
      </c>
      <c r="B3" s="4" t="s">
        <v>289</v>
      </c>
      <c r="J3" s="4" t="s">
        <v>287</v>
      </c>
      <c r="K3" t="s">
        <v>290</v>
      </c>
    </row>
    <row r="4" spans="1:17" x14ac:dyDescent="0.25">
      <c r="A4" s="4" t="s">
        <v>287</v>
      </c>
      <c r="B4" t="s">
        <v>176</v>
      </c>
      <c r="C4" t="s">
        <v>175</v>
      </c>
      <c r="D4" t="s">
        <v>177</v>
      </c>
      <c r="E4" t="s">
        <v>288</v>
      </c>
      <c r="J4" s="7">
        <v>45200</v>
      </c>
      <c r="K4" s="12">
        <v>65780.25</v>
      </c>
    </row>
    <row r="5" spans="1:17" x14ac:dyDescent="0.25">
      <c r="A5" s="5" t="s">
        <v>173</v>
      </c>
      <c r="B5" s="12">
        <v>48355.57</v>
      </c>
      <c r="C5" s="12"/>
      <c r="D5" s="12"/>
      <c r="E5" s="12">
        <v>48355.57</v>
      </c>
      <c r="J5" s="7">
        <v>45474</v>
      </c>
      <c r="K5" s="12">
        <v>38585.760000000002</v>
      </c>
    </row>
    <row r="6" spans="1:17" x14ac:dyDescent="0.25">
      <c r="A6" s="5" t="s">
        <v>174</v>
      </c>
      <c r="B6" s="12"/>
      <c r="C6" s="12">
        <v>17424.68</v>
      </c>
      <c r="D6" s="12"/>
      <c r="E6" s="12">
        <v>17424.68</v>
      </c>
      <c r="J6" s="5" t="s">
        <v>288</v>
      </c>
      <c r="K6" s="12">
        <v>104366.01000000001</v>
      </c>
    </row>
    <row r="7" spans="1:17" x14ac:dyDescent="0.25">
      <c r="A7" s="5" t="s">
        <v>172</v>
      </c>
      <c r="B7" s="12"/>
      <c r="C7" s="12"/>
      <c r="D7" s="12">
        <v>38585.760000000002</v>
      </c>
      <c r="E7" s="12">
        <v>38585.760000000002</v>
      </c>
    </row>
    <row r="8" spans="1:17" x14ac:dyDescent="0.25">
      <c r="A8" s="5" t="s">
        <v>288</v>
      </c>
      <c r="B8" s="12">
        <v>48355.57</v>
      </c>
      <c r="C8" s="12">
        <v>17424.68</v>
      </c>
      <c r="D8" s="12">
        <v>38585.760000000002</v>
      </c>
      <c r="E8" s="12">
        <v>104366.01000000001</v>
      </c>
    </row>
    <row r="10" spans="1:17" x14ac:dyDescent="0.25">
      <c r="N10" s="4" t="s">
        <v>289</v>
      </c>
    </row>
    <row r="11" spans="1:17" x14ac:dyDescent="0.25">
      <c r="M11" s="4" t="s">
        <v>287</v>
      </c>
      <c r="N11" t="s">
        <v>176</v>
      </c>
      <c r="O11" t="s">
        <v>175</v>
      </c>
      <c r="P11" t="s">
        <v>177</v>
      </c>
      <c r="Q11" t="s">
        <v>288</v>
      </c>
    </row>
    <row r="12" spans="1:17" x14ac:dyDescent="0.25">
      <c r="M12" s="5" t="s">
        <v>173</v>
      </c>
      <c r="N12" s="12"/>
      <c r="O12" s="12"/>
      <c r="P12" s="12"/>
      <c r="Q12" s="12"/>
    </row>
    <row r="13" spans="1:17" ht="18.75" x14ac:dyDescent="0.3">
      <c r="A13" s="8" t="s">
        <v>293</v>
      </c>
      <c r="B13" s="10"/>
      <c r="C13" s="10"/>
      <c r="D13" s="11"/>
      <c r="M13" s="5" t="s">
        <v>174</v>
      </c>
      <c r="N13" s="12"/>
      <c r="O13" s="12"/>
      <c r="P13" s="12"/>
      <c r="Q13" s="12"/>
    </row>
    <row r="14" spans="1:17" x14ac:dyDescent="0.25">
      <c r="M14" s="5" t="s">
        <v>172</v>
      </c>
      <c r="N14" s="12"/>
      <c r="O14" s="12"/>
      <c r="P14" s="12"/>
      <c r="Q14" s="12"/>
    </row>
    <row r="15" spans="1:17" x14ac:dyDescent="0.25">
      <c r="A15" s="4" t="s">
        <v>290</v>
      </c>
      <c r="B15" s="4" t="s">
        <v>289</v>
      </c>
      <c r="M15" s="5" t="s">
        <v>288</v>
      </c>
      <c r="N15" s="12"/>
      <c r="O15" s="12"/>
      <c r="P15" s="12"/>
      <c r="Q15" s="12"/>
    </row>
    <row r="16" spans="1:17" x14ac:dyDescent="0.25">
      <c r="A16" s="4" t="s">
        <v>287</v>
      </c>
      <c r="B16" t="s">
        <v>173</v>
      </c>
      <c r="C16" t="s">
        <v>174</v>
      </c>
      <c r="D16" t="s">
        <v>172</v>
      </c>
      <c r="E16" t="s">
        <v>288</v>
      </c>
    </row>
    <row r="17" spans="1:5" x14ac:dyDescent="0.25">
      <c r="A17" s="5" t="s">
        <v>188</v>
      </c>
      <c r="B17" s="12">
        <v>48355.57</v>
      </c>
      <c r="C17" s="12">
        <v>17424.68</v>
      </c>
      <c r="D17" s="12">
        <v>38585.760000000002</v>
      </c>
      <c r="E17" s="12">
        <v>104366.01000000001</v>
      </c>
    </row>
    <row r="18" spans="1:5" x14ac:dyDescent="0.25">
      <c r="A18" s="5" t="s">
        <v>288</v>
      </c>
      <c r="B18" s="12">
        <v>48355.57</v>
      </c>
      <c r="C18" s="12">
        <v>17424.68</v>
      </c>
      <c r="D18" s="12">
        <v>38585.760000000002</v>
      </c>
      <c r="E18" s="12">
        <v>104366.01000000001</v>
      </c>
    </row>
    <row r="29" spans="1:5" ht="18.75" x14ac:dyDescent="0.3">
      <c r="A29" s="8" t="s">
        <v>294</v>
      </c>
      <c r="B29" s="10"/>
      <c r="C29" s="10"/>
      <c r="D29" s="10"/>
    </row>
    <row r="31" spans="1:5" x14ac:dyDescent="0.25">
      <c r="A31" s="4" t="s">
        <v>291</v>
      </c>
      <c r="B31" s="4" t="s">
        <v>289</v>
      </c>
    </row>
    <row r="32" spans="1:5" x14ac:dyDescent="0.25">
      <c r="A32" s="4" t="s">
        <v>287</v>
      </c>
      <c r="B32" t="s">
        <v>173</v>
      </c>
      <c r="C32" t="s">
        <v>174</v>
      </c>
      <c r="D32" t="s">
        <v>172</v>
      </c>
      <c r="E32" t="s">
        <v>288</v>
      </c>
    </row>
    <row r="33" spans="1:14" x14ac:dyDescent="0.25">
      <c r="A33" s="5" t="s">
        <v>179</v>
      </c>
      <c r="B33" s="3">
        <v>1</v>
      </c>
      <c r="C33" s="3">
        <v>1</v>
      </c>
      <c r="D33" s="3">
        <v>1</v>
      </c>
      <c r="E33" s="3">
        <v>3</v>
      </c>
    </row>
    <row r="34" spans="1:14" ht="18.75" x14ac:dyDescent="0.3">
      <c r="A34" s="5" t="s">
        <v>288</v>
      </c>
      <c r="B34" s="3">
        <v>1</v>
      </c>
      <c r="C34" s="3">
        <v>1</v>
      </c>
      <c r="D34" s="3">
        <v>1</v>
      </c>
      <c r="E34" s="3">
        <v>3</v>
      </c>
      <c r="J34" s="10" t="s">
        <v>297</v>
      </c>
      <c r="K34" s="10"/>
      <c r="L34" s="10"/>
    </row>
    <row r="37" spans="1:14" x14ac:dyDescent="0.25">
      <c r="J37" s="4" t="s">
        <v>290</v>
      </c>
      <c r="K37" s="4" t="s">
        <v>289</v>
      </c>
    </row>
    <row r="38" spans="1:14" x14ac:dyDescent="0.25">
      <c r="J38" s="4" t="s">
        <v>287</v>
      </c>
      <c r="K38" t="s">
        <v>179</v>
      </c>
      <c r="L38" t="s">
        <v>288</v>
      </c>
    </row>
    <row r="39" spans="1:14" x14ac:dyDescent="0.25">
      <c r="J39" s="5" t="s">
        <v>176</v>
      </c>
      <c r="K39" s="12">
        <v>48355.57</v>
      </c>
      <c r="L39" s="12">
        <v>48355.57</v>
      </c>
    </row>
    <row r="40" spans="1:14" ht="18.75" x14ac:dyDescent="0.3">
      <c r="A40" s="8" t="s">
        <v>295</v>
      </c>
      <c r="B40" s="10"/>
      <c r="J40" s="5" t="s">
        <v>175</v>
      </c>
      <c r="K40" s="12">
        <v>17424.68</v>
      </c>
      <c r="L40" s="12">
        <v>17424.68</v>
      </c>
    </row>
    <row r="41" spans="1:14" x14ac:dyDescent="0.25">
      <c r="J41" s="5" t="s">
        <v>177</v>
      </c>
      <c r="K41" s="12">
        <v>38585.760000000002</v>
      </c>
      <c r="L41" s="12">
        <v>38585.760000000002</v>
      </c>
    </row>
    <row r="42" spans="1:14" x14ac:dyDescent="0.25">
      <c r="J42" s="5" t="s">
        <v>288</v>
      </c>
      <c r="K42" s="12">
        <v>104366.01000000001</v>
      </c>
      <c r="L42" s="12">
        <v>104366.01000000001</v>
      </c>
    </row>
    <row r="43" spans="1:14" x14ac:dyDescent="0.25">
      <c r="A43" s="4" t="s">
        <v>287</v>
      </c>
      <c r="B43" t="s">
        <v>290</v>
      </c>
    </row>
    <row r="44" spans="1:14" x14ac:dyDescent="0.25">
      <c r="A44" s="5" t="s">
        <v>18</v>
      </c>
      <c r="B44" s="12">
        <v>86941.33</v>
      </c>
    </row>
    <row r="45" spans="1:14" ht="18.75" x14ac:dyDescent="0.3">
      <c r="A45" s="5" t="s">
        <v>63</v>
      </c>
      <c r="B45" s="12">
        <v>17424.68</v>
      </c>
      <c r="J45" s="8" t="s">
        <v>298</v>
      </c>
      <c r="K45" s="10"/>
    </row>
    <row r="46" spans="1:14" x14ac:dyDescent="0.25">
      <c r="A46" s="5" t="s">
        <v>288</v>
      </c>
      <c r="B46" s="12">
        <v>104366.01000000001</v>
      </c>
    </row>
    <row r="47" spans="1:14" x14ac:dyDescent="0.25">
      <c r="J47" s="4" t="s">
        <v>290</v>
      </c>
      <c r="K47" s="4" t="s">
        <v>289</v>
      </c>
    </row>
    <row r="48" spans="1:14" x14ac:dyDescent="0.25">
      <c r="J48" s="4" t="s">
        <v>287</v>
      </c>
      <c r="K48" t="s">
        <v>176</v>
      </c>
      <c r="L48" t="s">
        <v>175</v>
      </c>
      <c r="M48" t="s">
        <v>177</v>
      </c>
      <c r="N48" t="s">
        <v>288</v>
      </c>
    </row>
    <row r="49" spans="10:14" x14ac:dyDescent="0.25">
      <c r="J49" s="5" t="s">
        <v>188</v>
      </c>
      <c r="K49" s="12">
        <v>48355.57</v>
      </c>
      <c r="L49" s="12">
        <v>17424.68</v>
      </c>
      <c r="M49" s="12">
        <v>38585.760000000002</v>
      </c>
      <c r="N49" s="12">
        <v>104366.01000000001</v>
      </c>
    </row>
    <row r="50" spans="10:14" x14ac:dyDescent="0.25">
      <c r="J50" s="5" t="s">
        <v>288</v>
      </c>
      <c r="K50" s="12">
        <v>48355.57</v>
      </c>
      <c r="L50" s="12">
        <v>17424.68</v>
      </c>
      <c r="M50" s="12">
        <v>38585.760000000002</v>
      </c>
      <c r="N50" s="12">
        <v>104366.01000000001</v>
      </c>
    </row>
    <row r="59" spans="10:14" x14ac:dyDescent="0.25">
      <c r="J59" s="4" t="s">
        <v>6</v>
      </c>
      <c r="K59" t="s">
        <v>179</v>
      </c>
    </row>
    <row r="61" spans="10:14" x14ac:dyDescent="0.25">
      <c r="J61" s="4" t="s">
        <v>287</v>
      </c>
      <c r="K61" t="s">
        <v>290</v>
      </c>
    </row>
    <row r="62" spans="10:14" x14ac:dyDescent="0.25">
      <c r="J62" s="5" t="s">
        <v>18</v>
      </c>
      <c r="K62" s="12">
        <v>86941.33</v>
      </c>
    </row>
    <row r="63" spans="10:14" x14ac:dyDescent="0.25">
      <c r="J63" s="5" t="s">
        <v>63</v>
      </c>
      <c r="K63" s="12">
        <v>17424.68</v>
      </c>
    </row>
    <row r="64" spans="10:14" x14ac:dyDescent="0.25">
      <c r="J64" s="5" t="s">
        <v>288</v>
      </c>
      <c r="K64" s="12">
        <v>104366.01000000001</v>
      </c>
    </row>
  </sheetData>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27"/>
  <sheetViews>
    <sheetView workbookViewId="0">
      <selection activeCell="C12" sqref="C12"/>
    </sheetView>
  </sheetViews>
  <sheetFormatPr defaultRowHeight="15" x14ac:dyDescent="0.25"/>
  <cols>
    <col min="1" max="1" width="18.42578125" customWidth="1"/>
    <col min="2" max="2" width="16.28515625" customWidth="1"/>
    <col min="3" max="3" width="14.140625" customWidth="1"/>
    <col min="4" max="4" width="12.85546875" customWidth="1"/>
    <col min="5" max="5" width="14.85546875" customWidth="1"/>
    <col min="6" max="6" width="14.28515625" bestFit="1" customWidth="1"/>
  </cols>
  <sheetData>
    <row r="1" spans="1:6" x14ac:dyDescent="0.25">
      <c r="A1" t="s">
        <v>301</v>
      </c>
    </row>
    <row r="3" spans="1:6" x14ac:dyDescent="0.25">
      <c r="A3" s="4" t="s">
        <v>290</v>
      </c>
      <c r="B3" s="4" t="s">
        <v>289</v>
      </c>
    </row>
    <row r="4" spans="1:6" x14ac:dyDescent="0.25">
      <c r="A4" s="4" t="s">
        <v>287</v>
      </c>
      <c r="B4" t="s">
        <v>176</v>
      </c>
      <c r="C4" t="s">
        <v>175</v>
      </c>
      <c r="D4" t="s">
        <v>177</v>
      </c>
      <c r="E4" t="s">
        <v>288</v>
      </c>
    </row>
    <row r="5" spans="1:6" x14ac:dyDescent="0.25">
      <c r="A5" s="5" t="s">
        <v>173</v>
      </c>
      <c r="B5" s="12">
        <v>369693.75000000006</v>
      </c>
      <c r="C5" s="12">
        <v>334352.39</v>
      </c>
      <c r="D5" s="12">
        <v>162111.56999999998</v>
      </c>
      <c r="E5" s="12">
        <v>866157.71000000008</v>
      </c>
    </row>
    <row r="6" spans="1:6" x14ac:dyDescent="0.25">
      <c r="A6" s="5" t="s">
        <v>174</v>
      </c>
      <c r="B6" s="12">
        <v>182242.01</v>
      </c>
      <c r="C6" s="12">
        <v>270995.82</v>
      </c>
      <c r="D6" s="12">
        <v>217023.35</v>
      </c>
      <c r="E6" s="12">
        <v>670261.18000000005</v>
      </c>
    </row>
    <row r="7" spans="1:6" x14ac:dyDescent="0.25">
      <c r="A7" s="5" t="s">
        <v>172</v>
      </c>
      <c r="B7" s="12">
        <v>166343.51</v>
      </c>
      <c r="C7" s="12">
        <v>298053.18</v>
      </c>
      <c r="D7" s="12">
        <v>211244.7</v>
      </c>
      <c r="E7" s="12">
        <v>675641.39</v>
      </c>
    </row>
    <row r="8" spans="1:6" x14ac:dyDescent="0.25">
      <c r="A8" s="5" t="s">
        <v>171</v>
      </c>
      <c r="B8" s="12">
        <v>45140.21</v>
      </c>
      <c r="C8" s="12">
        <v>124056.48</v>
      </c>
      <c r="D8" s="12">
        <v>152193.9</v>
      </c>
      <c r="E8" s="12">
        <v>321390.58999999997</v>
      </c>
    </row>
    <row r="9" spans="1:6" x14ac:dyDescent="0.25">
      <c r="A9" s="5" t="s">
        <v>288</v>
      </c>
      <c r="B9" s="12">
        <v>763419.48</v>
      </c>
      <c r="C9" s="12">
        <v>1027457.8699999999</v>
      </c>
      <c r="D9" s="12">
        <v>742573.52</v>
      </c>
      <c r="E9" s="12">
        <v>2533450.87</v>
      </c>
    </row>
    <row r="12" spans="1:6" x14ac:dyDescent="0.25">
      <c r="A12" s="5" t="s">
        <v>302</v>
      </c>
    </row>
    <row r="14" spans="1:6" x14ac:dyDescent="0.25">
      <c r="A14" s="4" t="s">
        <v>290</v>
      </c>
      <c r="B14" s="4" t="s">
        <v>289</v>
      </c>
    </row>
    <row r="15" spans="1:6" x14ac:dyDescent="0.25">
      <c r="A15" s="4" t="s">
        <v>287</v>
      </c>
      <c r="B15" t="s">
        <v>173</v>
      </c>
      <c r="C15" t="s">
        <v>174</v>
      </c>
      <c r="D15" t="s">
        <v>172</v>
      </c>
      <c r="E15" t="s">
        <v>171</v>
      </c>
      <c r="F15" t="s">
        <v>288</v>
      </c>
    </row>
    <row r="16" spans="1:6" x14ac:dyDescent="0.25">
      <c r="A16" s="5" t="s">
        <v>184</v>
      </c>
      <c r="B16" s="12">
        <v>183481.19</v>
      </c>
      <c r="C16" s="12">
        <v>86230.9</v>
      </c>
      <c r="D16" s="12">
        <v>48670.899999999994</v>
      </c>
      <c r="E16" s="12">
        <v>69497.899999999994</v>
      </c>
      <c r="F16" s="12">
        <v>387880.89</v>
      </c>
    </row>
    <row r="17" spans="1:6" x14ac:dyDescent="0.25">
      <c r="A17" s="5" t="s">
        <v>188</v>
      </c>
      <c r="B17" s="12">
        <v>48355.57</v>
      </c>
      <c r="C17" s="12">
        <v>68408.92</v>
      </c>
      <c r="D17" s="12">
        <v>88121.25</v>
      </c>
      <c r="E17" s="12">
        <v>43994.13</v>
      </c>
      <c r="F17" s="12">
        <v>248879.87</v>
      </c>
    </row>
    <row r="18" spans="1:6" x14ac:dyDescent="0.25">
      <c r="A18" s="5" t="s">
        <v>182</v>
      </c>
      <c r="B18" s="12"/>
      <c r="C18" s="12">
        <v>139201.26999999999</v>
      </c>
      <c r="D18" s="12">
        <v>144169.20000000001</v>
      </c>
      <c r="E18" s="12">
        <v>31646.559999999998</v>
      </c>
      <c r="F18" s="12">
        <v>315017.02999999997</v>
      </c>
    </row>
    <row r="19" spans="1:6" x14ac:dyDescent="0.25">
      <c r="A19" s="5" t="s">
        <v>186</v>
      </c>
      <c r="B19" s="12">
        <v>81332.959999999992</v>
      </c>
      <c r="C19" s="12">
        <v>129545.28</v>
      </c>
      <c r="D19" s="12">
        <v>47953.24</v>
      </c>
      <c r="E19" s="12">
        <v>25024.47</v>
      </c>
      <c r="F19" s="12">
        <v>283855.94999999995</v>
      </c>
    </row>
    <row r="20" spans="1:6" x14ac:dyDescent="0.25">
      <c r="A20" s="5" t="s">
        <v>189</v>
      </c>
      <c r="B20" s="12">
        <v>171466.15000000002</v>
      </c>
      <c r="C20" s="12">
        <v>87908.93</v>
      </c>
      <c r="D20" s="12">
        <v>115213.68000000001</v>
      </c>
      <c r="E20" s="12">
        <v>44282.520000000004</v>
      </c>
      <c r="F20" s="12">
        <v>418871.28</v>
      </c>
    </row>
    <row r="21" spans="1:6" x14ac:dyDescent="0.25">
      <c r="A21" s="5" t="s">
        <v>183</v>
      </c>
      <c r="B21" s="12">
        <v>169594.78999999998</v>
      </c>
      <c r="C21" s="12">
        <v>71377.200000000012</v>
      </c>
      <c r="D21" s="12">
        <v>156372.04</v>
      </c>
      <c r="E21" s="12">
        <v>21590.240000000002</v>
      </c>
      <c r="F21" s="12">
        <v>418934.27</v>
      </c>
    </row>
    <row r="22" spans="1:6" x14ac:dyDescent="0.25">
      <c r="A22" s="5" t="s">
        <v>185</v>
      </c>
      <c r="B22" s="12">
        <v>172725.31</v>
      </c>
      <c r="C22" s="12">
        <v>38812.729999999996</v>
      </c>
      <c r="D22" s="12">
        <v>18592.810000000001</v>
      </c>
      <c r="E22" s="12">
        <v>85354.77</v>
      </c>
      <c r="F22" s="12">
        <v>315485.62</v>
      </c>
    </row>
    <row r="23" spans="1:6" x14ac:dyDescent="0.25">
      <c r="A23" s="5" t="s">
        <v>187</v>
      </c>
      <c r="B23" s="12">
        <v>39201.74</v>
      </c>
      <c r="C23" s="12">
        <v>48775.95</v>
      </c>
      <c r="D23" s="12">
        <v>56548.27</v>
      </c>
      <c r="E23" s="12"/>
      <c r="F23" s="12">
        <v>144525.96</v>
      </c>
    </row>
    <row r="24" spans="1:6" x14ac:dyDescent="0.25">
      <c r="A24" s="5" t="s">
        <v>288</v>
      </c>
      <c r="B24" s="12">
        <v>866157.71</v>
      </c>
      <c r="C24" s="12">
        <v>670261.17999999993</v>
      </c>
      <c r="D24" s="12">
        <v>675641.39</v>
      </c>
      <c r="E24" s="12">
        <v>321390.59000000003</v>
      </c>
      <c r="F24" s="12">
        <v>2533450.87</v>
      </c>
    </row>
    <row r="27" spans="1:6" x14ac:dyDescent="0.25">
      <c r="A27" s="5" t="s">
        <v>303</v>
      </c>
    </row>
    <row r="29" spans="1:6" x14ac:dyDescent="0.25">
      <c r="A29" s="4" t="s">
        <v>291</v>
      </c>
      <c r="B29" s="4" t="s">
        <v>289</v>
      </c>
    </row>
    <row r="30" spans="1:6" x14ac:dyDescent="0.25">
      <c r="A30" s="4" t="s">
        <v>287</v>
      </c>
      <c r="B30" t="s">
        <v>173</v>
      </c>
      <c r="C30" t="s">
        <v>174</v>
      </c>
      <c r="D30" t="s">
        <v>172</v>
      </c>
      <c r="E30" t="s">
        <v>171</v>
      </c>
      <c r="F30" t="s">
        <v>288</v>
      </c>
    </row>
    <row r="31" spans="1:6" x14ac:dyDescent="0.25">
      <c r="A31" s="5" t="s">
        <v>181</v>
      </c>
      <c r="B31" s="3">
        <v>6</v>
      </c>
      <c r="C31" s="3">
        <v>10</v>
      </c>
      <c r="D31" s="3">
        <v>6</v>
      </c>
      <c r="E31" s="3">
        <v>1</v>
      </c>
      <c r="F31" s="3">
        <v>23</v>
      </c>
    </row>
    <row r="32" spans="1:6" x14ac:dyDescent="0.25">
      <c r="A32" s="5" t="s">
        <v>179</v>
      </c>
      <c r="B32" s="3">
        <v>11</v>
      </c>
      <c r="C32" s="3">
        <v>5</v>
      </c>
      <c r="D32" s="3">
        <v>9</v>
      </c>
      <c r="E32" s="3">
        <v>5</v>
      </c>
      <c r="F32" s="3">
        <v>30</v>
      </c>
    </row>
    <row r="33" spans="1:6" x14ac:dyDescent="0.25">
      <c r="A33" s="5" t="s">
        <v>180</v>
      </c>
      <c r="B33" s="3">
        <v>7</v>
      </c>
      <c r="C33" s="3">
        <v>3</v>
      </c>
      <c r="D33" s="3">
        <v>6</v>
      </c>
      <c r="E33" s="3">
        <v>4</v>
      </c>
      <c r="F33" s="3">
        <v>20</v>
      </c>
    </row>
    <row r="34" spans="1:6" x14ac:dyDescent="0.25">
      <c r="A34" s="5" t="s">
        <v>178</v>
      </c>
      <c r="B34" s="3">
        <v>5</v>
      </c>
      <c r="C34" s="3">
        <v>6</v>
      </c>
      <c r="D34" s="3">
        <v>9</v>
      </c>
      <c r="E34" s="3">
        <v>7</v>
      </c>
      <c r="F34" s="3">
        <v>27</v>
      </c>
    </row>
    <row r="35" spans="1:6" x14ac:dyDescent="0.25">
      <c r="A35" s="5" t="s">
        <v>288</v>
      </c>
      <c r="B35" s="3">
        <v>29</v>
      </c>
      <c r="C35" s="3">
        <v>24</v>
      </c>
      <c r="D35" s="3">
        <v>30</v>
      </c>
      <c r="E35" s="3">
        <v>17</v>
      </c>
      <c r="F35" s="3">
        <v>100</v>
      </c>
    </row>
    <row r="38" spans="1:6" x14ac:dyDescent="0.25">
      <c r="A38" s="5" t="s">
        <v>304</v>
      </c>
    </row>
    <row r="40" spans="1:6" x14ac:dyDescent="0.25">
      <c r="A40" s="4" t="s">
        <v>290</v>
      </c>
      <c r="B40" s="4" t="s">
        <v>289</v>
      </c>
    </row>
    <row r="41" spans="1:6" x14ac:dyDescent="0.25">
      <c r="A41" s="4" t="s">
        <v>287</v>
      </c>
      <c r="B41" t="s">
        <v>181</v>
      </c>
      <c r="C41" t="s">
        <v>179</v>
      </c>
      <c r="D41" t="s">
        <v>180</v>
      </c>
      <c r="E41" t="s">
        <v>178</v>
      </c>
      <c r="F41" t="s">
        <v>288</v>
      </c>
    </row>
    <row r="42" spans="1:6" x14ac:dyDescent="0.25">
      <c r="A42" s="5" t="s">
        <v>176</v>
      </c>
      <c r="B42" s="3">
        <v>111700.97999999998</v>
      </c>
      <c r="C42" s="3">
        <v>290077.43000000005</v>
      </c>
      <c r="D42" s="3">
        <v>167498.76</v>
      </c>
      <c r="E42" s="3">
        <v>194142.31</v>
      </c>
      <c r="F42" s="3">
        <v>763419.48</v>
      </c>
    </row>
    <row r="43" spans="1:6" x14ac:dyDescent="0.25">
      <c r="A43" s="5" t="s">
        <v>175</v>
      </c>
      <c r="B43" s="3">
        <v>309909.24</v>
      </c>
      <c r="C43" s="3">
        <v>274007.64</v>
      </c>
      <c r="D43" s="3">
        <v>280067.93000000005</v>
      </c>
      <c r="E43" s="3">
        <v>163473.06</v>
      </c>
      <c r="F43" s="3">
        <v>1027457.8700000001</v>
      </c>
    </row>
    <row r="44" spans="1:6" x14ac:dyDescent="0.25">
      <c r="A44" s="5" t="s">
        <v>177</v>
      </c>
      <c r="B44" s="3">
        <v>124592.54000000001</v>
      </c>
      <c r="C44" s="3">
        <v>241035.12</v>
      </c>
      <c r="D44" s="3">
        <v>131884.14000000001</v>
      </c>
      <c r="E44" s="3">
        <v>245061.72</v>
      </c>
      <c r="F44" s="3">
        <v>742573.52</v>
      </c>
    </row>
    <row r="45" spans="1:6" x14ac:dyDescent="0.25">
      <c r="A45" s="5" t="s">
        <v>288</v>
      </c>
      <c r="B45" s="3">
        <v>546202.76</v>
      </c>
      <c r="C45" s="3">
        <v>805120.19000000006</v>
      </c>
      <c r="D45" s="3">
        <v>579450.83000000007</v>
      </c>
      <c r="E45" s="3">
        <v>602677.09</v>
      </c>
      <c r="F45" s="3">
        <v>2533450.87</v>
      </c>
    </row>
    <row r="47" spans="1:6" x14ac:dyDescent="0.25">
      <c r="A47" s="5" t="s">
        <v>305</v>
      </c>
    </row>
    <row r="49" spans="1:2" x14ac:dyDescent="0.25">
      <c r="A49" s="4" t="s">
        <v>287</v>
      </c>
      <c r="B49" t="s">
        <v>290</v>
      </c>
    </row>
    <row r="50" spans="1:2" x14ac:dyDescent="0.25">
      <c r="A50" s="5" t="s">
        <v>13</v>
      </c>
      <c r="B50" s="12">
        <v>76806.579999999987</v>
      </c>
    </row>
    <row r="51" spans="1:2" x14ac:dyDescent="0.25">
      <c r="A51" s="5" t="s">
        <v>29</v>
      </c>
      <c r="B51" s="12">
        <v>29671.989999999998</v>
      </c>
    </row>
    <row r="52" spans="1:2" x14ac:dyDescent="0.25">
      <c r="A52" s="5" t="s">
        <v>17</v>
      </c>
      <c r="B52" s="12">
        <v>59698.27</v>
      </c>
    </row>
    <row r="53" spans="1:2" x14ac:dyDescent="0.25">
      <c r="A53" s="5" t="s">
        <v>39</v>
      </c>
      <c r="B53" s="12">
        <v>34347.769999999997</v>
      </c>
    </row>
    <row r="54" spans="1:2" x14ac:dyDescent="0.25">
      <c r="A54" s="5" t="s">
        <v>59</v>
      </c>
      <c r="B54" s="12">
        <v>33586.199999999997</v>
      </c>
    </row>
    <row r="55" spans="1:2" x14ac:dyDescent="0.25">
      <c r="A55" s="5" t="s">
        <v>31</v>
      </c>
      <c r="B55" s="12">
        <v>25258.98</v>
      </c>
    </row>
    <row r="56" spans="1:2" x14ac:dyDescent="0.25">
      <c r="A56" s="5" t="s">
        <v>58</v>
      </c>
      <c r="B56" s="12">
        <v>14827.25</v>
      </c>
    </row>
    <row r="57" spans="1:2" x14ac:dyDescent="0.25">
      <c r="A57" s="5" t="s">
        <v>11</v>
      </c>
      <c r="B57" s="12">
        <v>56251.77</v>
      </c>
    </row>
    <row r="58" spans="1:2" x14ac:dyDescent="0.25">
      <c r="A58" s="5" t="s">
        <v>25</v>
      </c>
      <c r="B58" s="12">
        <v>28581.55</v>
      </c>
    </row>
    <row r="59" spans="1:2" x14ac:dyDescent="0.25">
      <c r="A59" s="5" t="s">
        <v>18</v>
      </c>
      <c r="B59" s="12">
        <v>108637.18</v>
      </c>
    </row>
    <row r="60" spans="1:2" x14ac:dyDescent="0.25">
      <c r="A60" s="5" t="s">
        <v>47</v>
      </c>
      <c r="B60" s="12">
        <v>32011.72</v>
      </c>
    </row>
    <row r="61" spans="1:2" x14ac:dyDescent="0.25">
      <c r="A61" s="5" t="s">
        <v>20</v>
      </c>
      <c r="B61" s="12">
        <v>25911.13</v>
      </c>
    </row>
    <row r="62" spans="1:2" x14ac:dyDescent="0.25">
      <c r="A62" s="5" t="s">
        <v>43</v>
      </c>
      <c r="B62" s="12">
        <v>17857.900000000001</v>
      </c>
    </row>
    <row r="63" spans="1:2" x14ac:dyDescent="0.25">
      <c r="A63" s="5" t="s">
        <v>35</v>
      </c>
      <c r="B63" s="12">
        <v>66538.38</v>
      </c>
    </row>
    <row r="64" spans="1:2" x14ac:dyDescent="0.25">
      <c r="A64" s="5" t="s">
        <v>67</v>
      </c>
      <c r="B64" s="12">
        <v>43094.26</v>
      </c>
    </row>
    <row r="65" spans="1:2" x14ac:dyDescent="0.25">
      <c r="A65" s="5" t="s">
        <v>37</v>
      </c>
      <c r="B65" s="12">
        <v>1280.69</v>
      </c>
    </row>
    <row r="66" spans="1:2" x14ac:dyDescent="0.25">
      <c r="A66" s="5" t="s">
        <v>57</v>
      </c>
      <c r="B66" s="12">
        <v>83690.149999999994</v>
      </c>
    </row>
    <row r="67" spans="1:2" x14ac:dyDescent="0.25">
      <c r="A67" s="5" t="s">
        <v>36</v>
      </c>
      <c r="B67" s="12">
        <v>153829.02000000002</v>
      </c>
    </row>
    <row r="68" spans="1:2" x14ac:dyDescent="0.25">
      <c r="A68" s="5" t="s">
        <v>69</v>
      </c>
      <c r="B68" s="12">
        <v>14556.78</v>
      </c>
    </row>
    <row r="69" spans="1:2" x14ac:dyDescent="0.25">
      <c r="A69" s="5" t="s">
        <v>14</v>
      </c>
      <c r="B69" s="12">
        <v>56384.639999999999</v>
      </c>
    </row>
    <row r="70" spans="1:2" x14ac:dyDescent="0.25">
      <c r="A70" s="5" t="s">
        <v>65</v>
      </c>
      <c r="B70" s="12">
        <v>35749.040000000001</v>
      </c>
    </row>
    <row r="71" spans="1:2" x14ac:dyDescent="0.25">
      <c r="A71" s="5" t="s">
        <v>51</v>
      </c>
      <c r="B71" s="12">
        <v>75517.119999999995</v>
      </c>
    </row>
    <row r="72" spans="1:2" x14ac:dyDescent="0.25">
      <c r="A72" s="5" t="s">
        <v>8</v>
      </c>
      <c r="B72" s="12">
        <v>18557.439999999999</v>
      </c>
    </row>
    <row r="73" spans="1:2" x14ac:dyDescent="0.25">
      <c r="A73" s="5" t="s">
        <v>32</v>
      </c>
      <c r="B73" s="12">
        <v>48564.67</v>
      </c>
    </row>
    <row r="74" spans="1:2" x14ac:dyDescent="0.25">
      <c r="A74" s="5" t="s">
        <v>48</v>
      </c>
      <c r="B74" s="12">
        <v>29248.44</v>
      </c>
    </row>
    <row r="75" spans="1:2" x14ac:dyDescent="0.25">
      <c r="A75" s="5" t="s">
        <v>53</v>
      </c>
      <c r="B75" s="12">
        <v>27711.34</v>
      </c>
    </row>
    <row r="76" spans="1:2" x14ac:dyDescent="0.25">
      <c r="A76" s="5" t="s">
        <v>23</v>
      </c>
      <c r="B76" s="12">
        <v>53013.229999999996</v>
      </c>
    </row>
    <row r="77" spans="1:2" x14ac:dyDescent="0.25">
      <c r="A77" s="5" t="s">
        <v>49</v>
      </c>
      <c r="B77" s="12">
        <v>4853.97</v>
      </c>
    </row>
    <row r="78" spans="1:2" x14ac:dyDescent="0.25">
      <c r="A78" s="5" t="s">
        <v>38</v>
      </c>
      <c r="B78" s="12">
        <v>57625.58</v>
      </c>
    </row>
    <row r="79" spans="1:2" x14ac:dyDescent="0.25">
      <c r="A79" s="5" t="s">
        <v>44</v>
      </c>
      <c r="B79" s="12">
        <v>52073.729999999996</v>
      </c>
    </row>
    <row r="80" spans="1:2" x14ac:dyDescent="0.25">
      <c r="A80" s="5" t="s">
        <v>41</v>
      </c>
      <c r="B80" s="12">
        <v>31596.06</v>
      </c>
    </row>
    <row r="81" spans="1:2" x14ac:dyDescent="0.25">
      <c r="A81" s="5" t="s">
        <v>12</v>
      </c>
      <c r="B81" s="12">
        <v>44480.21</v>
      </c>
    </row>
    <row r="82" spans="1:2" x14ac:dyDescent="0.25">
      <c r="A82" s="5" t="s">
        <v>16</v>
      </c>
      <c r="B82" s="12">
        <v>38604.69</v>
      </c>
    </row>
    <row r="83" spans="1:2" x14ac:dyDescent="0.25">
      <c r="A83" s="5" t="s">
        <v>60</v>
      </c>
      <c r="B83" s="12">
        <v>18561.169999999998</v>
      </c>
    </row>
    <row r="84" spans="1:2" x14ac:dyDescent="0.25">
      <c r="A84" s="5" t="s">
        <v>54</v>
      </c>
      <c r="B84" s="12">
        <v>15553.95</v>
      </c>
    </row>
    <row r="85" spans="1:2" x14ac:dyDescent="0.25">
      <c r="A85" s="5" t="s">
        <v>63</v>
      </c>
      <c r="B85" s="12">
        <v>17424.68</v>
      </c>
    </row>
    <row r="86" spans="1:2" x14ac:dyDescent="0.25">
      <c r="A86" s="5" t="s">
        <v>26</v>
      </c>
      <c r="B86" s="12">
        <v>9932.14</v>
      </c>
    </row>
    <row r="87" spans="1:2" x14ac:dyDescent="0.25">
      <c r="A87" s="5" t="s">
        <v>62</v>
      </c>
      <c r="B87" s="12">
        <v>47653.21</v>
      </c>
    </row>
    <row r="88" spans="1:2" x14ac:dyDescent="0.25">
      <c r="A88" s="5" t="s">
        <v>24</v>
      </c>
      <c r="B88" s="12">
        <v>47167.77</v>
      </c>
    </row>
    <row r="89" spans="1:2" x14ac:dyDescent="0.25">
      <c r="A89" s="5" t="s">
        <v>42</v>
      </c>
      <c r="B89" s="12">
        <v>46531.79</v>
      </c>
    </row>
    <row r="90" spans="1:2" x14ac:dyDescent="0.25">
      <c r="A90" s="5" t="s">
        <v>56</v>
      </c>
      <c r="B90" s="12">
        <v>28297.03</v>
      </c>
    </row>
    <row r="91" spans="1:2" x14ac:dyDescent="0.25">
      <c r="A91" s="5" t="s">
        <v>15</v>
      </c>
      <c r="B91" s="12">
        <v>35683.53</v>
      </c>
    </row>
    <row r="92" spans="1:2" x14ac:dyDescent="0.25">
      <c r="A92" s="5" t="s">
        <v>21</v>
      </c>
      <c r="B92" s="12">
        <v>26244.37</v>
      </c>
    </row>
    <row r="93" spans="1:2" x14ac:dyDescent="0.25">
      <c r="A93" s="5" t="s">
        <v>28</v>
      </c>
      <c r="B93" s="12">
        <v>36990.97</v>
      </c>
    </row>
    <row r="94" spans="1:2" x14ac:dyDescent="0.25">
      <c r="A94" s="5" t="s">
        <v>55</v>
      </c>
      <c r="B94" s="12">
        <v>38314.75</v>
      </c>
    </row>
    <row r="95" spans="1:2" x14ac:dyDescent="0.25">
      <c r="A95" s="5" t="s">
        <v>68</v>
      </c>
      <c r="B95" s="12">
        <v>1126.58</v>
      </c>
    </row>
    <row r="96" spans="1:2" x14ac:dyDescent="0.25">
      <c r="A96" s="5" t="s">
        <v>10</v>
      </c>
      <c r="B96" s="12">
        <v>51153.71</v>
      </c>
    </row>
    <row r="97" spans="1:2" x14ac:dyDescent="0.25">
      <c r="A97" s="5" t="s">
        <v>19</v>
      </c>
      <c r="B97" s="12">
        <v>100507.45000000001</v>
      </c>
    </row>
    <row r="98" spans="1:2" x14ac:dyDescent="0.25">
      <c r="A98" s="5" t="s">
        <v>40</v>
      </c>
      <c r="B98" s="12">
        <v>57172.26</v>
      </c>
    </row>
    <row r="99" spans="1:2" x14ac:dyDescent="0.25">
      <c r="A99" s="5" t="s">
        <v>45</v>
      </c>
      <c r="B99" s="12">
        <v>43598.17</v>
      </c>
    </row>
    <row r="100" spans="1:2" x14ac:dyDescent="0.25">
      <c r="A100" s="5" t="s">
        <v>27</v>
      </c>
      <c r="B100" s="12">
        <v>33379.61</v>
      </c>
    </row>
    <row r="101" spans="1:2" x14ac:dyDescent="0.25">
      <c r="A101" s="5" t="s">
        <v>9</v>
      </c>
      <c r="B101" s="12">
        <v>71033.290000000008</v>
      </c>
    </row>
    <row r="102" spans="1:2" x14ac:dyDescent="0.25">
      <c r="A102" s="5" t="s">
        <v>50</v>
      </c>
      <c r="B102" s="12">
        <v>26955.67</v>
      </c>
    </row>
    <row r="103" spans="1:2" x14ac:dyDescent="0.25">
      <c r="A103" s="5" t="s">
        <v>22</v>
      </c>
      <c r="B103" s="12">
        <v>65497.79</v>
      </c>
    </row>
    <row r="104" spans="1:2" x14ac:dyDescent="0.25">
      <c r="A104" s="5" t="s">
        <v>52</v>
      </c>
      <c r="B104" s="12">
        <v>16699.32</v>
      </c>
    </row>
    <row r="105" spans="1:2" x14ac:dyDescent="0.25">
      <c r="A105" s="5" t="s">
        <v>34</v>
      </c>
      <c r="B105" s="12">
        <v>29891.06</v>
      </c>
    </row>
    <row r="106" spans="1:2" x14ac:dyDescent="0.25">
      <c r="A106" s="5" t="s">
        <v>30</v>
      </c>
      <c r="B106" s="12">
        <v>11837.06</v>
      </c>
    </row>
    <row r="107" spans="1:2" x14ac:dyDescent="0.25">
      <c r="A107" s="5" t="s">
        <v>66</v>
      </c>
      <c r="B107" s="12">
        <v>49239.93</v>
      </c>
    </row>
    <row r="108" spans="1:2" x14ac:dyDescent="0.25">
      <c r="A108" s="5" t="s">
        <v>33</v>
      </c>
      <c r="B108" s="12">
        <v>24180.45</v>
      </c>
    </row>
    <row r="109" spans="1:2" x14ac:dyDescent="0.25">
      <c r="A109" s="5" t="s">
        <v>70</v>
      </c>
      <c r="B109" s="12">
        <v>45646.3</v>
      </c>
    </row>
    <row r="110" spans="1:2" x14ac:dyDescent="0.25">
      <c r="A110" s="5" t="s">
        <v>46</v>
      </c>
      <c r="B110" s="12">
        <v>19072.96</v>
      </c>
    </row>
    <row r="111" spans="1:2" x14ac:dyDescent="0.25">
      <c r="A111" s="5" t="s">
        <v>61</v>
      </c>
      <c r="B111" s="12">
        <v>27999.19</v>
      </c>
    </row>
    <row r="112" spans="1:2" x14ac:dyDescent="0.25">
      <c r="A112" s="5" t="s">
        <v>64</v>
      </c>
      <c r="B112" s="12">
        <v>9686.98</v>
      </c>
    </row>
    <row r="113" spans="1:5" x14ac:dyDescent="0.25">
      <c r="A113" s="5" t="s">
        <v>288</v>
      </c>
      <c r="B113" s="12">
        <v>2533450.8699999996</v>
      </c>
    </row>
    <row r="115" spans="1:5" x14ac:dyDescent="0.25">
      <c r="A115" s="5" t="s">
        <v>306</v>
      </c>
    </row>
    <row r="117" spans="1:5" x14ac:dyDescent="0.25">
      <c r="A117" s="4" t="s">
        <v>290</v>
      </c>
      <c r="B117" s="4" t="s">
        <v>289</v>
      </c>
    </row>
    <row r="118" spans="1:5" x14ac:dyDescent="0.25">
      <c r="A118" s="4" t="s">
        <v>287</v>
      </c>
      <c r="B118" t="s">
        <v>176</v>
      </c>
      <c r="C118" t="s">
        <v>175</v>
      </c>
      <c r="D118" t="s">
        <v>177</v>
      </c>
      <c r="E118" t="s">
        <v>288</v>
      </c>
    </row>
    <row r="119" spans="1:5" x14ac:dyDescent="0.25">
      <c r="A119" s="5" t="s">
        <v>184</v>
      </c>
      <c r="B119" s="12">
        <v>92624.26999999999</v>
      </c>
      <c r="C119" s="12">
        <v>220779.47</v>
      </c>
      <c r="D119" s="12">
        <v>74477.149999999994</v>
      </c>
      <c r="E119" s="12">
        <v>387880.89</v>
      </c>
    </row>
    <row r="120" spans="1:5" x14ac:dyDescent="0.25">
      <c r="A120" s="5" t="s">
        <v>188</v>
      </c>
      <c r="B120" s="12">
        <v>94887.360000000001</v>
      </c>
      <c r="C120" s="12">
        <v>45423.869999999995</v>
      </c>
      <c r="D120" s="12">
        <v>108568.64</v>
      </c>
      <c r="E120" s="12">
        <v>248879.87</v>
      </c>
    </row>
    <row r="121" spans="1:5" x14ac:dyDescent="0.25">
      <c r="A121" s="5" t="s">
        <v>182</v>
      </c>
      <c r="B121" s="12">
        <v>46023.81</v>
      </c>
      <c r="C121" s="12">
        <v>189487.16999999998</v>
      </c>
      <c r="D121" s="12">
        <v>79506.049999999988</v>
      </c>
      <c r="E121" s="12">
        <v>315017.02999999997</v>
      </c>
    </row>
    <row r="122" spans="1:5" x14ac:dyDescent="0.25">
      <c r="A122" s="5" t="s">
        <v>186</v>
      </c>
      <c r="B122" s="12">
        <v>65703.62</v>
      </c>
      <c r="C122" s="12">
        <v>113425.81</v>
      </c>
      <c r="D122" s="12">
        <v>104726.51999999999</v>
      </c>
      <c r="E122" s="12">
        <v>283855.94999999995</v>
      </c>
    </row>
    <row r="123" spans="1:5" x14ac:dyDescent="0.25">
      <c r="A123" s="5" t="s">
        <v>189</v>
      </c>
      <c r="B123" s="12">
        <v>177567.45</v>
      </c>
      <c r="C123" s="12">
        <v>91441.25</v>
      </c>
      <c r="D123" s="12">
        <v>149862.58000000002</v>
      </c>
      <c r="E123" s="12">
        <v>418871.28</v>
      </c>
    </row>
    <row r="124" spans="1:5" x14ac:dyDescent="0.25">
      <c r="A124" s="5" t="s">
        <v>183</v>
      </c>
      <c r="B124" s="12">
        <v>148928.63</v>
      </c>
      <c r="C124" s="12">
        <v>155689.79999999999</v>
      </c>
      <c r="D124" s="12">
        <v>114315.84</v>
      </c>
      <c r="E124" s="12">
        <v>418934.27</v>
      </c>
    </row>
    <row r="125" spans="1:5" x14ac:dyDescent="0.25">
      <c r="A125" s="5" t="s">
        <v>185</v>
      </c>
      <c r="B125" s="12">
        <v>132830.37</v>
      </c>
      <c r="C125" s="12">
        <v>105886.28000000001</v>
      </c>
      <c r="D125" s="12">
        <v>76768.97</v>
      </c>
      <c r="E125" s="12">
        <v>315485.62</v>
      </c>
    </row>
    <row r="126" spans="1:5" x14ac:dyDescent="0.25">
      <c r="A126" s="5" t="s">
        <v>187</v>
      </c>
      <c r="B126" s="12">
        <v>4853.97</v>
      </c>
      <c r="C126" s="12">
        <v>105324.22</v>
      </c>
      <c r="D126" s="12">
        <v>34347.769999999997</v>
      </c>
      <c r="E126" s="12">
        <v>144525.96</v>
      </c>
    </row>
    <row r="127" spans="1:5" x14ac:dyDescent="0.25">
      <c r="A127" s="5" t="s">
        <v>288</v>
      </c>
      <c r="B127" s="12">
        <v>763419.48</v>
      </c>
      <c r="C127" s="12">
        <v>1027457.8699999999</v>
      </c>
      <c r="D127" s="12">
        <v>742573.52</v>
      </c>
      <c r="E127" s="12">
        <v>2533450.87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01"/>
  <sheetViews>
    <sheetView topLeftCell="A2" workbookViewId="0">
      <selection activeCell="J6" sqref="J6"/>
    </sheetView>
  </sheetViews>
  <sheetFormatPr defaultRowHeight="15" x14ac:dyDescent="0.25"/>
  <cols>
    <col min="1" max="1" width="18" customWidth="1"/>
    <col min="2" max="2" width="20.42578125" customWidth="1"/>
    <col min="3" max="3" width="16" customWidth="1"/>
    <col min="4" max="4" width="20.140625" customWidth="1"/>
    <col min="5" max="6" width="16.28515625" customWidth="1"/>
    <col min="7" max="7" width="22.85546875" customWidth="1"/>
    <col min="8" max="8" width="18" customWidth="1"/>
  </cols>
  <sheetData>
    <row r="1" spans="1:11" ht="19.5" customHeight="1" x14ac:dyDescent="0.25">
      <c r="A1" s="1" t="s">
        <v>0</v>
      </c>
      <c r="B1" s="1" t="s">
        <v>1</v>
      </c>
      <c r="C1" s="1" t="s">
        <v>2</v>
      </c>
      <c r="D1" s="1" t="s">
        <v>3</v>
      </c>
      <c r="E1" s="1" t="s">
        <v>4</v>
      </c>
      <c r="F1" s="1" t="s">
        <v>5</v>
      </c>
      <c r="G1" s="1" t="s">
        <v>6</v>
      </c>
      <c r="H1" s="1" t="s">
        <v>7</v>
      </c>
      <c r="K1" s="13" t="s">
        <v>299</v>
      </c>
    </row>
    <row r="2" spans="1:11" x14ac:dyDescent="0.25">
      <c r="A2" t="s">
        <v>195</v>
      </c>
      <c r="B2" t="s">
        <v>13</v>
      </c>
      <c r="C2" t="s">
        <v>76</v>
      </c>
      <c r="D2">
        <v>42935.95</v>
      </c>
      <c r="E2" t="s">
        <v>173</v>
      </c>
      <c r="F2" t="s">
        <v>177</v>
      </c>
      <c r="G2" t="s">
        <v>178</v>
      </c>
      <c r="H2" t="s">
        <v>186</v>
      </c>
      <c r="J2" t="s">
        <v>300</v>
      </c>
    </row>
    <row r="3" spans="1:11" x14ac:dyDescent="0.25">
      <c r="A3" t="s">
        <v>197</v>
      </c>
      <c r="B3" t="s">
        <v>15</v>
      </c>
      <c r="C3" t="s">
        <v>78</v>
      </c>
      <c r="D3">
        <v>10277.9</v>
      </c>
      <c r="E3" t="s">
        <v>173</v>
      </c>
      <c r="F3" t="s">
        <v>175</v>
      </c>
      <c r="G3" t="s">
        <v>181</v>
      </c>
      <c r="H3" t="s">
        <v>184</v>
      </c>
    </row>
    <row r="4" spans="1:11" x14ac:dyDescent="0.25">
      <c r="A4" t="s">
        <v>201</v>
      </c>
      <c r="B4" t="s">
        <v>18</v>
      </c>
      <c r="C4" t="s">
        <v>82</v>
      </c>
      <c r="D4">
        <v>48355.57</v>
      </c>
      <c r="E4" t="s">
        <v>173</v>
      </c>
      <c r="F4" t="s">
        <v>176</v>
      </c>
      <c r="G4" t="s">
        <v>179</v>
      </c>
      <c r="H4" t="s">
        <v>188</v>
      </c>
    </row>
    <row r="5" spans="1:11" x14ac:dyDescent="0.25">
      <c r="A5" t="s">
        <v>202</v>
      </c>
      <c r="B5" t="s">
        <v>19</v>
      </c>
      <c r="C5" t="s">
        <v>83</v>
      </c>
      <c r="D5">
        <v>1072.1099999999999</v>
      </c>
      <c r="E5" t="s">
        <v>173</v>
      </c>
      <c r="F5" t="s">
        <v>176</v>
      </c>
      <c r="G5" t="s">
        <v>179</v>
      </c>
      <c r="H5" t="s">
        <v>186</v>
      </c>
    </row>
    <row r="6" spans="1:11" x14ac:dyDescent="0.25">
      <c r="A6" t="s">
        <v>208</v>
      </c>
      <c r="B6" t="s">
        <v>25</v>
      </c>
      <c r="C6" t="s">
        <v>90</v>
      </c>
      <c r="D6">
        <v>28581.55</v>
      </c>
      <c r="E6" t="s">
        <v>173</v>
      </c>
      <c r="F6" t="s">
        <v>176</v>
      </c>
      <c r="G6" t="s">
        <v>178</v>
      </c>
      <c r="H6" t="s">
        <v>183</v>
      </c>
    </row>
    <row r="7" spans="1:11" x14ac:dyDescent="0.25">
      <c r="A7" t="s">
        <v>214</v>
      </c>
      <c r="B7" t="s">
        <v>31</v>
      </c>
      <c r="C7" t="s">
        <v>96</v>
      </c>
      <c r="D7">
        <v>25258.98</v>
      </c>
      <c r="E7" t="s">
        <v>173</v>
      </c>
      <c r="F7" t="s">
        <v>176</v>
      </c>
      <c r="G7" t="s">
        <v>179</v>
      </c>
      <c r="H7" t="s">
        <v>184</v>
      </c>
    </row>
    <row r="8" spans="1:11" x14ac:dyDescent="0.25">
      <c r="A8" t="s">
        <v>224</v>
      </c>
      <c r="B8" t="s">
        <v>19</v>
      </c>
      <c r="C8" t="s">
        <v>106</v>
      </c>
      <c r="D8">
        <v>48732.47</v>
      </c>
      <c r="E8" t="s">
        <v>173</v>
      </c>
      <c r="F8" t="s">
        <v>175</v>
      </c>
      <c r="G8" t="s">
        <v>180</v>
      </c>
      <c r="H8" t="s">
        <v>184</v>
      </c>
    </row>
    <row r="9" spans="1:11" x14ac:dyDescent="0.25">
      <c r="A9" t="s">
        <v>190</v>
      </c>
      <c r="B9" t="s">
        <v>39</v>
      </c>
      <c r="C9" t="s">
        <v>110</v>
      </c>
      <c r="D9">
        <v>34347.769999999997</v>
      </c>
      <c r="E9" t="s">
        <v>173</v>
      </c>
      <c r="F9" t="s">
        <v>177</v>
      </c>
      <c r="G9" t="s">
        <v>179</v>
      </c>
      <c r="H9" t="s">
        <v>187</v>
      </c>
    </row>
    <row r="10" spans="1:11" x14ac:dyDescent="0.25">
      <c r="A10" t="s">
        <v>228</v>
      </c>
      <c r="B10" t="s">
        <v>38</v>
      </c>
      <c r="C10" t="s">
        <v>111</v>
      </c>
      <c r="D10">
        <v>47713.73</v>
      </c>
      <c r="E10" t="s">
        <v>173</v>
      </c>
      <c r="F10" t="s">
        <v>176</v>
      </c>
      <c r="G10" t="s">
        <v>179</v>
      </c>
      <c r="H10" t="s">
        <v>183</v>
      </c>
    </row>
    <row r="11" spans="1:11" x14ac:dyDescent="0.25">
      <c r="A11" t="s">
        <v>230</v>
      </c>
      <c r="B11" t="s">
        <v>22</v>
      </c>
      <c r="C11" t="s">
        <v>113</v>
      </c>
      <c r="D11">
        <v>47867.61</v>
      </c>
      <c r="E11" t="s">
        <v>173</v>
      </c>
      <c r="F11" t="s">
        <v>175</v>
      </c>
      <c r="G11" t="s">
        <v>181</v>
      </c>
      <c r="H11" t="s">
        <v>185</v>
      </c>
    </row>
    <row r="12" spans="1:11" x14ac:dyDescent="0.25">
      <c r="A12" t="s">
        <v>232</v>
      </c>
      <c r="B12" t="s">
        <v>41</v>
      </c>
      <c r="C12" t="s">
        <v>115</v>
      </c>
      <c r="D12">
        <v>16097.19</v>
      </c>
      <c r="E12" t="s">
        <v>173</v>
      </c>
      <c r="F12" t="s">
        <v>176</v>
      </c>
      <c r="G12" t="s">
        <v>181</v>
      </c>
      <c r="H12" t="s">
        <v>189</v>
      </c>
    </row>
    <row r="13" spans="1:11" x14ac:dyDescent="0.25">
      <c r="A13" t="s">
        <v>243</v>
      </c>
      <c r="B13" t="s">
        <v>48</v>
      </c>
      <c r="C13" t="s">
        <v>126</v>
      </c>
      <c r="D13">
        <v>29248.44</v>
      </c>
      <c r="E13" t="s">
        <v>173</v>
      </c>
      <c r="F13" t="s">
        <v>176</v>
      </c>
      <c r="G13" t="s">
        <v>181</v>
      </c>
      <c r="H13" t="s">
        <v>185</v>
      </c>
    </row>
    <row r="14" spans="1:11" x14ac:dyDescent="0.25">
      <c r="A14" t="s">
        <v>244</v>
      </c>
      <c r="B14" t="s">
        <v>49</v>
      </c>
      <c r="C14" t="s">
        <v>127</v>
      </c>
      <c r="D14">
        <v>4853.97</v>
      </c>
      <c r="E14" t="s">
        <v>173</v>
      </c>
      <c r="F14" t="s">
        <v>176</v>
      </c>
      <c r="G14" t="s">
        <v>178</v>
      </c>
      <c r="H14" t="s">
        <v>187</v>
      </c>
    </row>
    <row r="15" spans="1:11" x14ac:dyDescent="0.25">
      <c r="A15" t="s">
        <v>245</v>
      </c>
      <c r="B15" t="s">
        <v>50</v>
      </c>
      <c r="C15" t="s">
        <v>128</v>
      </c>
      <c r="D15">
        <v>26955.67</v>
      </c>
      <c r="E15" t="s">
        <v>173</v>
      </c>
      <c r="F15" t="s">
        <v>176</v>
      </c>
      <c r="G15" t="s">
        <v>180</v>
      </c>
      <c r="H15" t="s">
        <v>184</v>
      </c>
    </row>
    <row r="16" spans="1:11" x14ac:dyDescent="0.25">
      <c r="A16" t="s">
        <v>248</v>
      </c>
      <c r="B16" t="s">
        <v>19</v>
      </c>
      <c r="C16" t="s">
        <v>131</v>
      </c>
      <c r="D16">
        <v>34658.99</v>
      </c>
      <c r="E16" t="s">
        <v>173</v>
      </c>
      <c r="F16" t="s">
        <v>175</v>
      </c>
      <c r="G16" t="s">
        <v>181</v>
      </c>
      <c r="H16" t="s">
        <v>189</v>
      </c>
    </row>
    <row r="17" spans="1:8" x14ac:dyDescent="0.25">
      <c r="A17" t="s">
        <v>249</v>
      </c>
      <c r="B17" t="s">
        <v>35</v>
      </c>
      <c r="C17" t="s">
        <v>132</v>
      </c>
      <c r="D17">
        <v>45262.45</v>
      </c>
      <c r="E17" t="s">
        <v>173</v>
      </c>
      <c r="F17" t="s">
        <v>176</v>
      </c>
      <c r="G17" t="s">
        <v>179</v>
      </c>
      <c r="H17" t="s">
        <v>189</v>
      </c>
    </row>
    <row r="18" spans="1:8" x14ac:dyDescent="0.25">
      <c r="A18" t="s">
        <v>253</v>
      </c>
      <c r="B18" t="s">
        <v>54</v>
      </c>
      <c r="C18" t="s">
        <v>136</v>
      </c>
      <c r="D18">
        <v>15553.95</v>
      </c>
      <c r="E18" t="s">
        <v>173</v>
      </c>
      <c r="F18" t="s">
        <v>176</v>
      </c>
      <c r="G18" t="s">
        <v>179</v>
      </c>
      <c r="H18" t="s">
        <v>184</v>
      </c>
    </row>
    <row r="19" spans="1:8" x14ac:dyDescent="0.25">
      <c r="A19" t="s">
        <v>254</v>
      </c>
      <c r="B19" t="s">
        <v>55</v>
      </c>
      <c r="C19" t="s">
        <v>137</v>
      </c>
      <c r="D19">
        <v>38314.75</v>
      </c>
      <c r="E19" t="s">
        <v>173</v>
      </c>
      <c r="F19" t="s">
        <v>175</v>
      </c>
      <c r="G19" t="s">
        <v>179</v>
      </c>
      <c r="H19" t="s">
        <v>185</v>
      </c>
    </row>
    <row r="20" spans="1:8" x14ac:dyDescent="0.25">
      <c r="A20" t="s">
        <v>259</v>
      </c>
      <c r="B20" t="s">
        <v>58</v>
      </c>
      <c r="C20" t="s">
        <v>142</v>
      </c>
      <c r="D20">
        <v>14827.25</v>
      </c>
      <c r="E20" t="s">
        <v>173</v>
      </c>
      <c r="F20" t="s">
        <v>175</v>
      </c>
      <c r="G20" t="s">
        <v>180</v>
      </c>
      <c r="H20" t="s">
        <v>189</v>
      </c>
    </row>
    <row r="21" spans="1:8" x14ac:dyDescent="0.25">
      <c r="A21" t="s">
        <v>260</v>
      </c>
      <c r="B21" t="s">
        <v>59</v>
      </c>
      <c r="C21" t="s">
        <v>143</v>
      </c>
      <c r="D21">
        <v>33586.199999999997</v>
      </c>
      <c r="E21" t="s">
        <v>173</v>
      </c>
      <c r="F21" t="s">
        <v>176</v>
      </c>
      <c r="G21" t="s">
        <v>180</v>
      </c>
      <c r="H21" t="s">
        <v>185</v>
      </c>
    </row>
    <row r="22" spans="1:8" x14ac:dyDescent="0.25">
      <c r="A22" t="s">
        <v>261</v>
      </c>
      <c r="B22" t="s">
        <v>60</v>
      </c>
      <c r="C22" t="s">
        <v>144</v>
      </c>
      <c r="D22">
        <v>18561.169999999998</v>
      </c>
      <c r="E22" t="s">
        <v>173</v>
      </c>
      <c r="F22" t="s">
        <v>175</v>
      </c>
      <c r="G22" t="s">
        <v>181</v>
      </c>
      <c r="H22" t="s">
        <v>186</v>
      </c>
    </row>
    <row r="23" spans="1:8" x14ac:dyDescent="0.25">
      <c r="A23" t="s">
        <v>264</v>
      </c>
      <c r="B23" t="s">
        <v>62</v>
      </c>
      <c r="C23" t="s">
        <v>147</v>
      </c>
      <c r="D23">
        <v>47653.21</v>
      </c>
      <c r="E23" t="s">
        <v>173</v>
      </c>
      <c r="F23" t="s">
        <v>177</v>
      </c>
      <c r="G23" t="s">
        <v>180</v>
      </c>
      <c r="H23" t="s">
        <v>183</v>
      </c>
    </row>
    <row r="24" spans="1:8" x14ac:dyDescent="0.25">
      <c r="A24" t="s">
        <v>265</v>
      </c>
      <c r="B24" t="s">
        <v>15</v>
      </c>
      <c r="C24" t="s">
        <v>148</v>
      </c>
      <c r="D24">
        <v>20953.18</v>
      </c>
      <c r="E24" t="s">
        <v>173</v>
      </c>
      <c r="F24" t="s">
        <v>175</v>
      </c>
      <c r="G24" t="s">
        <v>179</v>
      </c>
      <c r="H24" t="s">
        <v>184</v>
      </c>
    </row>
    <row r="25" spans="1:8" x14ac:dyDescent="0.25">
      <c r="A25" t="s">
        <v>246</v>
      </c>
      <c r="B25" t="s">
        <v>36</v>
      </c>
      <c r="C25" t="s">
        <v>150</v>
      </c>
      <c r="D25">
        <v>23708.31</v>
      </c>
      <c r="E25" t="s">
        <v>173</v>
      </c>
      <c r="F25" t="s">
        <v>177</v>
      </c>
      <c r="G25" t="s">
        <v>180</v>
      </c>
      <c r="H25" t="s">
        <v>185</v>
      </c>
    </row>
    <row r="26" spans="1:8" x14ac:dyDescent="0.25">
      <c r="A26" t="s">
        <v>270</v>
      </c>
      <c r="B26" t="s">
        <v>41</v>
      </c>
      <c r="C26" t="s">
        <v>154</v>
      </c>
      <c r="D26">
        <v>13466.33</v>
      </c>
      <c r="E26" t="s">
        <v>173</v>
      </c>
      <c r="F26" t="s">
        <v>177</v>
      </c>
      <c r="G26" t="s">
        <v>178</v>
      </c>
      <c r="H26" t="s">
        <v>189</v>
      </c>
    </row>
    <row r="27" spans="1:8" x14ac:dyDescent="0.25">
      <c r="A27" t="s">
        <v>272</v>
      </c>
      <c r="B27" t="s">
        <v>57</v>
      </c>
      <c r="C27" t="s">
        <v>156</v>
      </c>
      <c r="D27">
        <v>47153.94</v>
      </c>
      <c r="E27" t="s">
        <v>173</v>
      </c>
      <c r="F27" t="s">
        <v>176</v>
      </c>
      <c r="G27" t="s">
        <v>179</v>
      </c>
      <c r="H27" t="s">
        <v>189</v>
      </c>
    </row>
    <row r="28" spans="1:8" x14ac:dyDescent="0.25">
      <c r="A28" t="s">
        <v>275</v>
      </c>
      <c r="B28" t="s">
        <v>51</v>
      </c>
      <c r="C28" t="s">
        <v>159</v>
      </c>
      <c r="D28">
        <v>18763.73</v>
      </c>
      <c r="E28" t="s">
        <v>173</v>
      </c>
      <c r="F28" t="s">
        <v>175</v>
      </c>
      <c r="G28" t="s">
        <v>179</v>
      </c>
      <c r="H28" t="s">
        <v>186</v>
      </c>
    </row>
    <row r="29" spans="1:8" x14ac:dyDescent="0.25">
      <c r="A29" t="s">
        <v>276</v>
      </c>
      <c r="B29" t="s">
        <v>65</v>
      </c>
      <c r="C29" t="s">
        <v>160</v>
      </c>
      <c r="D29">
        <v>35749.040000000001</v>
      </c>
      <c r="E29" t="s">
        <v>173</v>
      </c>
      <c r="F29" t="s">
        <v>175</v>
      </c>
      <c r="G29" t="s">
        <v>180</v>
      </c>
      <c r="H29" t="s">
        <v>184</v>
      </c>
    </row>
    <row r="30" spans="1:8" x14ac:dyDescent="0.25">
      <c r="A30" t="s">
        <v>285</v>
      </c>
      <c r="B30" t="s">
        <v>70</v>
      </c>
      <c r="C30" t="s">
        <v>169</v>
      </c>
      <c r="D30">
        <v>45646.3</v>
      </c>
      <c r="E30" t="s">
        <v>173</v>
      </c>
      <c r="F30" t="s">
        <v>175</v>
      </c>
      <c r="G30" t="s">
        <v>178</v>
      </c>
      <c r="H30" t="s">
        <v>183</v>
      </c>
    </row>
    <row r="31" spans="1:8" x14ac:dyDescent="0.25">
      <c r="A31" t="s">
        <v>200</v>
      </c>
      <c r="B31" t="s">
        <v>9</v>
      </c>
      <c r="C31" t="s">
        <v>81</v>
      </c>
      <c r="D31">
        <v>35196.22</v>
      </c>
      <c r="E31" t="s">
        <v>174</v>
      </c>
      <c r="F31" t="s">
        <v>175</v>
      </c>
      <c r="G31" t="s">
        <v>178</v>
      </c>
      <c r="H31" t="s">
        <v>183</v>
      </c>
    </row>
    <row r="32" spans="1:8" x14ac:dyDescent="0.25">
      <c r="A32" t="s">
        <v>195</v>
      </c>
      <c r="B32" t="s">
        <v>20</v>
      </c>
      <c r="C32" t="s">
        <v>84</v>
      </c>
      <c r="D32">
        <v>25911.13</v>
      </c>
      <c r="E32" t="s">
        <v>174</v>
      </c>
      <c r="F32" t="s">
        <v>175</v>
      </c>
      <c r="G32" t="s">
        <v>178</v>
      </c>
      <c r="H32" t="s">
        <v>189</v>
      </c>
    </row>
    <row r="33" spans="1:8" x14ac:dyDescent="0.25">
      <c r="A33" t="s">
        <v>204</v>
      </c>
      <c r="B33" t="s">
        <v>16</v>
      </c>
      <c r="C33" t="s">
        <v>86</v>
      </c>
      <c r="D33">
        <v>17014.45</v>
      </c>
      <c r="E33" t="s">
        <v>174</v>
      </c>
      <c r="F33" t="s">
        <v>177</v>
      </c>
      <c r="G33" t="s">
        <v>178</v>
      </c>
      <c r="H33" t="s">
        <v>189</v>
      </c>
    </row>
    <row r="34" spans="1:8" x14ac:dyDescent="0.25">
      <c r="A34" t="s">
        <v>206</v>
      </c>
      <c r="B34" t="s">
        <v>23</v>
      </c>
      <c r="C34" t="s">
        <v>88</v>
      </c>
      <c r="D34">
        <v>48775.95</v>
      </c>
      <c r="E34" t="s">
        <v>174</v>
      </c>
      <c r="F34" t="s">
        <v>175</v>
      </c>
      <c r="G34" t="s">
        <v>180</v>
      </c>
      <c r="H34" t="s">
        <v>187</v>
      </c>
    </row>
    <row r="35" spans="1:8" x14ac:dyDescent="0.25">
      <c r="A35" t="s">
        <v>211</v>
      </c>
      <c r="B35" t="s">
        <v>28</v>
      </c>
      <c r="C35" t="s">
        <v>93</v>
      </c>
      <c r="D35">
        <v>36990.97</v>
      </c>
      <c r="E35" t="s">
        <v>174</v>
      </c>
      <c r="F35" t="s">
        <v>177</v>
      </c>
      <c r="G35" t="s">
        <v>181</v>
      </c>
      <c r="H35" t="s">
        <v>184</v>
      </c>
    </row>
    <row r="36" spans="1:8" x14ac:dyDescent="0.25">
      <c r="A36" t="s">
        <v>215</v>
      </c>
      <c r="B36" t="s">
        <v>15</v>
      </c>
      <c r="C36" t="s">
        <v>97</v>
      </c>
      <c r="D36">
        <v>4452.45</v>
      </c>
      <c r="E36" t="s">
        <v>174</v>
      </c>
      <c r="F36" t="s">
        <v>177</v>
      </c>
      <c r="G36" t="s">
        <v>181</v>
      </c>
      <c r="H36" t="s">
        <v>188</v>
      </c>
    </row>
    <row r="37" spans="1:8" x14ac:dyDescent="0.25">
      <c r="A37" t="s">
        <v>216</v>
      </c>
      <c r="B37" t="s">
        <v>32</v>
      </c>
      <c r="C37" t="s">
        <v>98</v>
      </c>
      <c r="D37">
        <v>11363.55</v>
      </c>
      <c r="E37" t="s">
        <v>174</v>
      </c>
      <c r="F37" t="s">
        <v>176</v>
      </c>
      <c r="G37" t="s">
        <v>178</v>
      </c>
      <c r="H37" t="s">
        <v>186</v>
      </c>
    </row>
    <row r="38" spans="1:8" x14ac:dyDescent="0.25">
      <c r="A38" t="s">
        <v>219</v>
      </c>
      <c r="B38" t="s">
        <v>35</v>
      </c>
      <c r="C38" t="s">
        <v>101</v>
      </c>
      <c r="D38">
        <v>21275.93</v>
      </c>
      <c r="E38" t="s">
        <v>174</v>
      </c>
      <c r="F38" t="s">
        <v>176</v>
      </c>
      <c r="G38" t="s">
        <v>181</v>
      </c>
      <c r="H38" t="s">
        <v>185</v>
      </c>
    </row>
    <row r="39" spans="1:8" x14ac:dyDescent="0.25">
      <c r="A39" t="s">
        <v>222</v>
      </c>
      <c r="B39" t="s">
        <v>37</v>
      </c>
      <c r="C39" t="s">
        <v>104</v>
      </c>
      <c r="D39">
        <v>1280.69</v>
      </c>
      <c r="E39" t="s">
        <v>174</v>
      </c>
      <c r="F39" t="s">
        <v>175</v>
      </c>
      <c r="G39" t="s">
        <v>181</v>
      </c>
      <c r="H39" t="s">
        <v>185</v>
      </c>
    </row>
    <row r="40" spans="1:8" x14ac:dyDescent="0.25">
      <c r="A40" t="s">
        <v>225</v>
      </c>
      <c r="B40" t="s">
        <v>11</v>
      </c>
      <c r="C40" t="s">
        <v>107</v>
      </c>
      <c r="D40">
        <v>44983.35</v>
      </c>
      <c r="E40" t="s">
        <v>174</v>
      </c>
      <c r="F40" t="s">
        <v>177</v>
      </c>
      <c r="G40" t="s">
        <v>178</v>
      </c>
      <c r="H40" t="s">
        <v>189</v>
      </c>
    </row>
    <row r="41" spans="1:8" x14ac:dyDescent="0.25">
      <c r="A41" t="s">
        <v>233</v>
      </c>
      <c r="B41" t="s">
        <v>42</v>
      </c>
      <c r="C41" t="s">
        <v>116</v>
      </c>
      <c r="D41">
        <v>46531.79</v>
      </c>
      <c r="E41" t="s">
        <v>174</v>
      </c>
      <c r="F41" t="s">
        <v>176</v>
      </c>
      <c r="G41" t="s">
        <v>180</v>
      </c>
      <c r="H41" t="s">
        <v>188</v>
      </c>
    </row>
    <row r="42" spans="1:8" x14ac:dyDescent="0.25">
      <c r="A42" t="s">
        <v>236</v>
      </c>
      <c r="B42" t="s">
        <v>44</v>
      </c>
      <c r="C42" t="s">
        <v>119</v>
      </c>
      <c r="D42">
        <v>8543.2099999999991</v>
      </c>
      <c r="E42" t="s">
        <v>174</v>
      </c>
      <c r="F42" t="s">
        <v>176</v>
      </c>
      <c r="G42" t="s">
        <v>181</v>
      </c>
      <c r="H42" t="s">
        <v>186</v>
      </c>
    </row>
    <row r="43" spans="1:8" x14ac:dyDescent="0.25">
      <c r="A43" t="s">
        <v>237</v>
      </c>
      <c r="B43" t="s">
        <v>45</v>
      </c>
      <c r="C43" t="s">
        <v>120</v>
      </c>
      <c r="D43">
        <v>43598.17</v>
      </c>
      <c r="E43" t="s">
        <v>174</v>
      </c>
      <c r="F43" t="s">
        <v>176</v>
      </c>
      <c r="G43" t="s">
        <v>178</v>
      </c>
      <c r="H43" t="s">
        <v>186</v>
      </c>
    </row>
    <row r="44" spans="1:8" x14ac:dyDescent="0.25">
      <c r="A44" t="s">
        <v>240</v>
      </c>
      <c r="B44" t="s">
        <v>14</v>
      </c>
      <c r="C44" t="s">
        <v>123</v>
      </c>
      <c r="D44">
        <v>14393.15</v>
      </c>
      <c r="E44" t="s">
        <v>174</v>
      </c>
      <c r="F44" t="s">
        <v>176</v>
      </c>
      <c r="G44" t="s">
        <v>179</v>
      </c>
      <c r="H44" t="s">
        <v>185</v>
      </c>
    </row>
    <row r="45" spans="1:8" x14ac:dyDescent="0.25">
      <c r="A45" t="s">
        <v>255</v>
      </c>
      <c r="B45" t="s">
        <v>56</v>
      </c>
      <c r="C45" t="s">
        <v>138</v>
      </c>
      <c r="D45">
        <v>28297.03</v>
      </c>
      <c r="E45" t="s">
        <v>174</v>
      </c>
      <c r="F45" t="s">
        <v>175</v>
      </c>
      <c r="G45" t="s">
        <v>181</v>
      </c>
      <c r="H45" t="s">
        <v>182</v>
      </c>
    </row>
    <row r="46" spans="1:8" x14ac:dyDescent="0.25">
      <c r="A46" t="s">
        <v>258</v>
      </c>
      <c r="B46" t="s">
        <v>57</v>
      </c>
      <c r="C46" t="s">
        <v>141</v>
      </c>
      <c r="D46">
        <v>36536.21</v>
      </c>
      <c r="E46" t="s">
        <v>174</v>
      </c>
      <c r="F46" t="s">
        <v>176</v>
      </c>
      <c r="G46" t="s">
        <v>181</v>
      </c>
      <c r="H46" t="s">
        <v>182</v>
      </c>
    </row>
    <row r="47" spans="1:8" x14ac:dyDescent="0.25">
      <c r="A47" t="s">
        <v>263</v>
      </c>
      <c r="B47" t="s">
        <v>36</v>
      </c>
      <c r="C47" t="s">
        <v>146</v>
      </c>
      <c r="D47">
        <v>32169.72</v>
      </c>
      <c r="E47" t="s">
        <v>174</v>
      </c>
      <c r="F47" t="s">
        <v>175</v>
      </c>
      <c r="G47" t="s">
        <v>180</v>
      </c>
      <c r="H47" t="s">
        <v>186</v>
      </c>
    </row>
    <row r="48" spans="1:8" x14ac:dyDescent="0.25">
      <c r="A48" t="s">
        <v>266</v>
      </c>
      <c r="B48" t="s">
        <v>43</v>
      </c>
      <c r="C48" t="s">
        <v>149</v>
      </c>
      <c r="D48">
        <v>1862.96</v>
      </c>
      <c r="E48" t="s">
        <v>174</v>
      </c>
      <c r="F48" t="s">
        <v>175</v>
      </c>
      <c r="G48" t="s">
        <v>181</v>
      </c>
      <c r="H48" t="s">
        <v>185</v>
      </c>
    </row>
    <row r="49" spans="1:8" x14ac:dyDescent="0.25">
      <c r="A49" t="s">
        <v>268</v>
      </c>
      <c r="B49" t="s">
        <v>36</v>
      </c>
      <c r="C49" t="s">
        <v>152</v>
      </c>
      <c r="D49">
        <v>36180.980000000003</v>
      </c>
      <c r="E49" t="s">
        <v>174</v>
      </c>
      <c r="F49" t="s">
        <v>177</v>
      </c>
      <c r="G49" t="s">
        <v>179</v>
      </c>
      <c r="H49" t="s">
        <v>183</v>
      </c>
    </row>
    <row r="50" spans="1:8" x14ac:dyDescent="0.25">
      <c r="A50" t="s">
        <v>269</v>
      </c>
      <c r="B50" t="s">
        <v>63</v>
      </c>
      <c r="C50" t="s">
        <v>153</v>
      </c>
      <c r="D50">
        <v>17424.68</v>
      </c>
      <c r="E50" t="s">
        <v>174</v>
      </c>
      <c r="F50" t="s">
        <v>175</v>
      </c>
      <c r="G50" t="s">
        <v>179</v>
      </c>
      <c r="H50" t="s">
        <v>188</v>
      </c>
    </row>
    <row r="51" spans="1:8" x14ac:dyDescent="0.25">
      <c r="A51" t="s">
        <v>274</v>
      </c>
      <c r="B51" t="s">
        <v>44</v>
      </c>
      <c r="C51" t="s">
        <v>158</v>
      </c>
      <c r="D51">
        <v>43530.52</v>
      </c>
      <c r="E51" t="s">
        <v>174</v>
      </c>
      <c r="F51" t="s">
        <v>177</v>
      </c>
      <c r="G51" t="s">
        <v>179</v>
      </c>
      <c r="H51" t="s">
        <v>182</v>
      </c>
    </row>
    <row r="52" spans="1:8" x14ac:dyDescent="0.25">
      <c r="A52" t="s">
        <v>277</v>
      </c>
      <c r="B52" t="s">
        <v>66</v>
      </c>
      <c r="C52" t="s">
        <v>161</v>
      </c>
      <c r="D52">
        <v>49239.93</v>
      </c>
      <c r="E52" t="s">
        <v>174</v>
      </c>
      <c r="F52" t="s">
        <v>175</v>
      </c>
      <c r="G52" t="s">
        <v>181</v>
      </c>
      <c r="H52" t="s">
        <v>184</v>
      </c>
    </row>
    <row r="53" spans="1:8" x14ac:dyDescent="0.25">
      <c r="A53" t="s">
        <v>279</v>
      </c>
      <c r="B53" t="s">
        <v>13</v>
      </c>
      <c r="C53" t="s">
        <v>163</v>
      </c>
      <c r="D53">
        <v>33870.629999999997</v>
      </c>
      <c r="E53" t="s">
        <v>174</v>
      </c>
      <c r="F53" t="s">
        <v>177</v>
      </c>
      <c r="G53" t="s">
        <v>179</v>
      </c>
      <c r="H53" t="s">
        <v>186</v>
      </c>
    </row>
    <row r="54" spans="1:8" x14ac:dyDescent="0.25">
      <c r="A54" t="s">
        <v>286</v>
      </c>
      <c r="B54" t="s">
        <v>24</v>
      </c>
      <c r="C54" t="s">
        <v>170</v>
      </c>
      <c r="D54">
        <v>30837.51</v>
      </c>
      <c r="E54" t="s">
        <v>174</v>
      </c>
      <c r="F54" t="s">
        <v>175</v>
      </c>
      <c r="G54" t="s">
        <v>181</v>
      </c>
      <c r="H54" t="s">
        <v>182</v>
      </c>
    </row>
    <row r="55" spans="1:8" x14ac:dyDescent="0.25">
      <c r="A55" t="s">
        <v>191</v>
      </c>
      <c r="B55" t="s">
        <v>9</v>
      </c>
      <c r="C55" t="s">
        <v>72</v>
      </c>
      <c r="D55">
        <v>35837.07</v>
      </c>
      <c r="E55" t="s">
        <v>172</v>
      </c>
      <c r="F55" t="s">
        <v>175</v>
      </c>
      <c r="G55" t="s">
        <v>179</v>
      </c>
      <c r="H55" t="s">
        <v>182</v>
      </c>
    </row>
    <row r="56" spans="1:8" x14ac:dyDescent="0.25">
      <c r="A56" t="s">
        <v>192</v>
      </c>
      <c r="B56" t="s">
        <v>10</v>
      </c>
      <c r="C56" t="s">
        <v>73</v>
      </c>
      <c r="D56">
        <v>34238.18</v>
      </c>
      <c r="E56" t="s">
        <v>172</v>
      </c>
      <c r="F56" t="s">
        <v>176</v>
      </c>
      <c r="G56" t="s">
        <v>180</v>
      </c>
      <c r="H56" t="s">
        <v>183</v>
      </c>
    </row>
    <row r="57" spans="1:8" x14ac:dyDescent="0.25">
      <c r="A57" t="s">
        <v>193</v>
      </c>
      <c r="B57" t="s">
        <v>11</v>
      </c>
      <c r="C57" t="s">
        <v>74</v>
      </c>
      <c r="D57">
        <v>11268.42</v>
      </c>
      <c r="E57" t="s">
        <v>172</v>
      </c>
      <c r="F57" t="s">
        <v>176</v>
      </c>
      <c r="G57" t="s">
        <v>178</v>
      </c>
      <c r="H57" t="s">
        <v>184</v>
      </c>
    </row>
    <row r="58" spans="1:8" x14ac:dyDescent="0.25">
      <c r="A58" t="s">
        <v>194</v>
      </c>
      <c r="B58" t="s">
        <v>12</v>
      </c>
      <c r="C58" t="s">
        <v>75</v>
      </c>
      <c r="D58">
        <v>16560.27</v>
      </c>
      <c r="E58" t="s">
        <v>172</v>
      </c>
      <c r="F58" t="s">
        <v>175</v>
      </c>
      <c r="G58" t="s">
        <v>179</v>
      </c>
      <c r="H58" t="s">
        <v>185</v>
      </c>
    </row>
    <row r="59" spans="1:8" x14ac:dyDescent="0.25">
      <c r="A59" t="s">
        <v>196</v>
      </c>
      <c r="B59" t="s">
        <v>14</v>
      </c>
      <c r="C59" t="s">
        <v>77</v>
      </c>
      <c r="D59">
        <v>41991.49</v>
      </c>
      <c r="E59" t="s">
        <v>172</v>
      </c>
      <c r="F59" t="s">
        <v>175</v>
      </c>
      <c r="G59" t="s">
        <v>179</v>
      </c>
      <c r="H59" t="s">
        <v>187</v>
      </c>
    </row>
    <row r="60" spans="1:8" x14ac:dyDescent="0.25">
      <c r="A60" t="s">
        <v>199</v>
      </c>
      <c r="B60" t="s">
        <v>17</v>
      </c>
      <c r="C60" t="s">
        <v>80</v>
      </c>
      <c r="D60">
        <v>10162.780000000001</v>
      </c>
      <c r="E60" t="s">
        <v>172</v>
      </c>
      <c r="F60" t="s">
        <v>175</v>
      </c>
      <c r="G60" t="s">
        <v>178</v>
      </c>
      <c r="H60" t="s">
        <v>183</v>
      </c>
    </row>
    <row r="61" spans="1:8" x14ac:dyDescent="0.25">
      <c r="A61" t="s">
        <v>203</v>
      </c>
      <c r="B61" t="s">
        <v>21</v>
      </c>
      <c r="C61" t="s">
        <v>85</v>
      </c>
      <c r="D61">
        <v>26244.37</v>
      </c>
      <c r="E61" t="s">
        <v>172</v>
      </c>
      <c r="F61" t="s">
        <v>177</v>
      </c>
      <c r="G61" t="s">
        <v>181</v>
      </c>
      <c r="H61" t="s">
        <v>183</v>
      </c>
    </row>
    <row r="62" spans="1:8" x14ac:dyDescent="0.25">
      <c r="A62" t="s">
        <v>205</v>
      </c>
      <c r="B62" t="s">
        <v>22</v>
      </c>
      <c r="C62" t="s">
        <v>87</v>
      </c>
      <c r="D62">
        <v>17630.18</v>
      </c>
      <c r="E62" t="s">
        <v>172</v>
      </c>
      <c r="F62" t="s">
        <v>176</v>
      </c>
      <c r="G62" t="s">
        <v>179</v>
      </c>
      <c r="H62" t="s">
        <v>189</v>
      </c>
    </row>
    <row r="63" spans="1:8" x14ac:dyDescent="0.25">
      <c r="A63" t="s">
        <v>212</v>
      </c>
      <c r="B63" t="s">
        <v>29</v>
      </c>
      <c r="C63" t="s">
        <v>94</v>
      </c>
      <c r="D63">
        <v>5856.76</v>
      </c>
      <c r="E63" t="s">
        <v>172</v>
      </c>
      <c r="F63" t="s">
        <v>176</v>
      </c>
      <c r="G63" t="s">
        <v>178</v>
      </c>
      <c r="H63" t="s">
        <v>184</v>
      </c>
    </row>
    <row r="64" spans="1:8" x14ac:dyDescent="0.25">
      <c r="A64" t="s">
        <v>213</v>
      </c>
      <c r="B64" t="s">
        <v>30</v>
      </c>
      <c r="C64" t="s">
        <v>95</v>
      </c>
      <c r="D64">
        <v>7730.49</v>
      </c>
      <c r="E64" t="s">
        <v>172</v>
      </c>
      <c r="F64" t="s">
        <v>176</v>
      </c>
      <c r="G64" t="s">
        <v>178</v>
      </c>
      <c r="H64" t="s">
        <v>184</v>
      </c>
    </row>
    <row r="65" spans="1:8" x14ac:dyDescent="0.25">
      <c r="A65" t="s">
        <v>218</v>
      </c>
      <c r="B65" t="s">
        <v>34</v>
      </c>
      <c r="C65" t="s">
        <v>100</v>
      </c>
      <c r="D65">
        <v>29891.06</v>
      </c>
      <c r="E65" t="s">
        <v>172</v>
      </c>
      <c r="F65" t="s">
        <v>177</v>
      </c>
      <c r="G65" t="s">
        <v>178</v>
      </c>
      <c r="H65" t="s">
        <v>189</v>
      </c>
    </row>
    <row r="66" spans="1:8" x14ac:dyDescent="0.25">
      <c r="A66" t="s">
        <v>220</v>
      </c>
      <c r="B66" t="s">
        <v>36</v>
      </c>
      <c r="C66" t="s">
        <v>102</v>
      </c>
      <c r="D66">
        <v>20033.3</v>
      </c>
      <c r="E66" t="s">
        <v>172</v>
      </c>
      <c r="F66" t="s">
        <v>175</v>
      </c>
      <c r="G66" t="s">
        <v>181</v>
      </c>
      <c r="H66" t="s">
        <v>186</v>
      </c>
    </row>
    <row r="67" spans="1:8" x14ac:dyDescent="0.25">
      <c r="A67" t="s">
        <v>221</v>
      </c>
      <c r="B67" t="s">
        <v>29</v>
      </c>
      <c r="C67" t="s">
        <v>103</v>
      </c>
      <c r="D67">
        <v>23815.23</v>
      </c>
      <c r="E67" t="s">
        <v>172</v>
      </c>
      <c r="F67" t="s">
        <v>175</v>
      </c>
      <c r="G67" t="s">
        <v>179</v>
      </c>
      <c r="H67" t="s">
        <v>184</v>
      </c>
    </row>
    <row r="68" spans="1:8" x14ac:dyDescent="0.25">
      <c r="A68" t="s">
        <v>223</v>
      </c>
      <c r="B68" t="s">
        <v>38</v>
      </c>
      <c r="C68" t="s">
        <v>105</v>
      </c>
      <c r="D68">
        <v>9911.85</v>
      </c>
      <c r="E68" t="s">
        <v>172</v>
      </c>
      <c r="F68" t="s">
        <v>177</v>
      </c>
      <c r="G68" t="s">
        <v>181</v>
      </c>
      <c r="H68" t="s">
        <v>189</v>
      </c>
    </row>
    <row r="69" spans="1:8" x14ac:dyDescent="0.25">
      <c r="A69" t="s">
        <v>235</v>
      </c>
      <c r="B69" t="s">
        <v>32</v>
      </c>
      <c r="C69" t="s">
        <v>118</v>
      </c>
      <c r="D69">
        <v>37201.120000000003</v>
      </c>
      <c r="E69" t="s">
        <v>172</v>
      </c>
      <c r="F69" t="s">
        <v>175</v>
      </c>
      <c r="G69" t="s">
        <v>180</v>
      </c>
      <c r="H69" t="s">
        <v>182</v>
      </c>
    </row>
    <row r="70" spans="1:8" x14ac:dyDescent="0.25">
      <c r="A70" t="s">
        <v>238</v>
      </c>
      <c r="B70" t="s">
        <v>41</v>
      </c>
      <c r="C70" t="s">
        <v>121</v>
      </c>
      <c r="D70">
        <v>2032.54</v>
      </c>
      <c r="E70" t="s">
        <v>172</v>
      </c>
      <c r="F70" t="s">
        <v>177</v>
      </c>
      <c r="G70" t="s">
        <v>178</v>
      </c>
      <c r="H70" t="s">
        <v>185</v>
      </c>
    </row>
    <row r="71" spans="1:8" x14ac:dyDescent="0.25">
      <c r="A71" t="s">
        <v>239</v>
      </c>
      <c r="B71" t="s">
        <v>46</v>
      </c>
      <c r="C71" t="s">
        <v>122</v>
      </c>
      <c r="D71">
        <v>19072.96</v>
      </c>
      <c r="E71" t="s">
        <v>172</v>
      </c>
      <c r="F71" t="s">
        <v>177</v>
      </c>
      <c r="G71" t="s">
        <v>181</v>
      </c>
      <c r="H71" t="s">
        <v>182</v>
      </c>
    </row>
    <row r="72" spans="1:8" x14ac:dyDescent="0.25">
      <c r="A72" t="s">
        <v>242</v>
      </c>
      <c r="B72" t="s">
        <v>36</v>
      </c>
      <c r="C72" t="s">
        <v>125</v>
      </c>
      <c r="D72">
        <v>41736.71</v>
      </c>
      <c r="E72" t="s">
        <v>172</v>
      </c>
      <c r="F72" t="s">
        <v>176</v>
      </c>
      <c r="G72" t="s">
        <v>178</v>
      </c>
      <c r="H72" t="s">
        <v>189</v>
      </c>
    </row>
    <row r="73" spans="1:8" x14ac:dyDescent="0.25">
      <c r="A73" t="s">
        <v>246</v>
      </c>
      <c r="B73" t="s">
        <v>23</v>
      </c>
      <c r="C73" t="s">
        <v>129</v>
      </c>
      <c r="D73">
        <v>4237.28</v>
      </c>
      <c r="E73" t="s">
        <v>172</v>
      </c>
      <c r="F73" t="s">
        <v>177</v>
      </c>
      <c r="G73" t="s">
        <v>179</v>
      </c>
      <c r="H73" t="s">
        <v>183</v>
      </c>
    </row>
    <row r="74" spans="1:8" x14ac:dyDescent="0.25">
      <c r="A74" t="s">
        <v>247</v>
      </c>
      <c r="B74" t="s">
        <v>12</v>
      </c>
      <c r="C74" t="s">
        <v>130</v>
      </c>
      <c r="D74">
        <v>27919.94</v>
      </c>
      <c r="E74" t="s">
        <v>172</v>
      </c>
      <c r="F74" t="s">
        <v>177</v>
      </c>
      <c r="G74" t="s">
        <v>181</v>
      </c>
      <c r="H74" t="s">
        <v>186</v>
      </c>
    </row>
    <row r="75" spans="1:8" x14ac:dyDescent="0.25">
      <c r="A75" t="s">
        <v>250</v>
      </c>
      <c r="B75" t="s">
        <v>51</v>
      </c>
      <c r="C75" t="s">
        <v>133</v>
      </c>
      <c r="D75">
        <v>38757</v>
      </c>
      <c r="E75" t="s">
        <v>172</v>
      </c>
      <c r="F75" t="s">
        <v>175</v>
      </c>
      <c r="G75" t="s">
        <v>179</v>
      </c>
      <c r="H75" t="s">
        <v>182</v>
      </c>
    </row>
    <row r="76" spans="1:8" x14ac:dyDescent="0.25">
      <c r="A76" t="s">
        <v>251</v>
      </c>
      <c r="B76" t="s">
        <v>52</v>
      </c>
      <c r="C76" t="s">
        <v>134</v>
      </c>
      <c r="D76">
        <v>16699.32</v>
      </c>
      <c r="E76" t="s">
        <v>172</v>
      </c>
      <c r="F76" t="s">
        <v>176</v>
      </c>
      <c r="G76" t="s">
        <v>180</v>
      </c>
      <c r="H76" t="s">
        <v>183</v>
      </c>
    </row>
    <row r="77" spans="1:8" x14ac:dyDescent="0.25">
      <c r="A77" t="s">
        <v>256</v>
      </c>
      <c r="B77" t="s">
        <v>53</v>
      </c>
      <c r="C77" t="s">
        <v>139</v>
      </c>
      <c r="D77">
        <v>3813.45</v>
      </c>
      <c r="E77" t="s">
        <v>172</v>
      </c>
      <c r="F77" t="s">
        <v>177</v>
      </c>
      <c r="G77" t="s">
        <v>179</v>
      </c>
      <c r="H77" t="s">
        <v>182</v>
      </c>
    </row>
    <row r="78" spans="1:8" x14ac:dyDescent="0.25">
      <c r="A78" t="s">
        <v>257</v>
      </c>
      <c r="B78" t="s">
        <v>18</v>
      </c>
      <c r="C78" t="s">
        <v>140</v>
      </c>
      <c r="D78">
        <v>21695.85</v>
      </c>
      <c r="E78" t="s">
        <v>172</v>
      </c>
      <c r="F78" t="s">
        <v>176</v>
      </c>
      <c r="G78" t="s">
        <v>178</v>
      </c>
      <c r="H78" t="s">
        <v>183</v>
      </c>
    </row>
    <row r="79" spans="1:8" x14ac:dyDescent="0.25">
      <c r="A79" t="s">
        <v>267</v>
      </c>
      <c r="B79" t="s">
        <v>17</v>
      </c>
      <c r="C79" t="s">
        <v>151</v>
      </c>
      <c r="D79">
        <v>49535.49</v>
      </c>
      <c r="E79" t="s">
        <v>172</v>
      </c>
      <c r="F79" t="s">
        <v>177</v>
      </c>
      <c r="G79" t="s">
        <v>178</v>
      </c>
      <c r="H79" t="s">
        <v>188</v>
      </c>
    </row>
    <row r="80" spans="1:8" x14ac:dyDescent="0.25">
      <c r="A80" t="s">
        <v>273</v>
      </c>
      <c r="B80" t="s">
        <v>40</v>
      </c>
      <c r="C80" t="s">
        <v>157</v>
      </c>
      <c r="D80">
        <v>9487.6</v>
      </c>
      <c r="E80" t="s">
        <v>172</v>
      </c>
      <c r="F80" t="s">
        <v>176</v>
      </c>
      <c r="G80" t="s">
        <v>180</v>
      </c>
      <c r="H80" t="s">
        <v>182</v>
      </c>
    </row>
    <row r="81" spans="1:8" x14ac:dyDescent="0.25">
      <c r="A81" t="s">
        <v>278</v>
      </c>
      <c r="B81" t="s">
        <v>67</v>
      </c>
      <c r="C81" t="s">
        <v>162</v>
      </c>
      <c r="D81">
        <v>43094.26</v>
      </c>
      <c r="E81" t="s">
        <v>172</v>
      </c>
      <c r="F81" t="s">
        <v>175</v>
      </c>
      <c r="G81" t="s">
        <v>181</v>
      </c>
      <c r="H81" t="s">
        <v>183</v>
      </c>
    </row>
    <row r="82" spans="1:8" x14ac:dyDescent="0.25">
      <c r="A82" t="s">
        <v>280</v>
      </c>
      <c r="B82" t="s">
        <v>19</v>
      </c>
      <c r="C82" t="s">
        <v>164</v>
      </c>
      <c r="D82">
        <v>16043.88</v>
      </c>
      <c r="E82" t="s">
        <v>172</v>
      </c>
      <c r="F82" t="s">
        <v>175</v>
      </c>
      <c r="G82" t="s">
        <v>180</v>
      </c>
      <c r="H82" t="s">
        <v>189</v>
      </c>
    </row>
    <row r="83" spans="1:8" x14ac:dyDescent="0.25">
      <c r="A83" t="s">
        <v>282</v>
      </c>
      <c r="B83" t="s">
        <v>18</v>
      </c>
      <c r="C83" t="s">
        <v>166</v>
      </c>
      <c r="D83">
        <v>38585.760000000002</v>
      </c>
      <c r="E83" t="s">
        <v>172</v>
      </c>
      <c r="F83" t="s">
        <v>177</v>
      </c>
      <c r="G83" t="s">
        <v>179</v>
      </c>
      <c r="H83" t="s">
        <v>188</v>
      </c>
    </row>
    <row r="84" spans="1:8" x14ac:dyDescent="0.25">
      <c r="A84" t="s">
        <v>283</v>
      </c>
      <c r="B84" t="s">
        <v>69</v>
      </c>
      <c r="C84" t="s">
        <v>167</v>
      </c>
      <c r="D84">
        <v>14556.78</v>
      </c>
      <c r="E84" t="s">
        <v>172</v>
      </c>
      <c r="F84" t="s">
        <v>175</v>
      </c>
      <c r="G84" t="s">
        <v>180</v>
      </c>
      <c r="H84" t="s">
        <v>187</v>
      </c>
    </row>
    <row r="85" spans="1:8" x14ac:dyDescent="0.25">
      <c r="A85" t="s">
        <v>190</v>
      </c>
      <c r="B85" t="s">
        <v>8</v>
      </c>
      <c r="C85" t="s">
        <v>71</v>
      </c>
      <c r="D85">
        <v>18557.439999999999</v>
      </c>
      <c r="E85" t="s">
        <v>171</v>
      </c>
      <c r="F85" t="s">
        <v>175</v>
      </c>
      <c r="G85" t="s">
        <v>178</v>
      </c>
      <c r="H85" t="s">
        <v>182</v>
      </c>
    </row>
    <row r="86" spans="1:8" x14ac:dyDescent="0.25">
      <c r="A86" t="s">
        <v>198</v>
      </c>
      <c r="B86" t="s">
        <v>16</v>
      </c>
      <c r="C86" t="s">
        <v>79</v>
      </c>
      <c r="D86">
        <v>21590.240000000002</v>
      </c>
      <c r="E86" t="s">
        <v>171</v>
      </c>
      <c r="F86" t="s">
        <v>175</v>
      </c>
      <c r="G86" t="s">
        <v>179</v>
      </c>
      <c r="H86" t="s">
        <v>183</v>
      </c>
    </row>
    <row r="87" spans="1:8" x14ac:dyDescent="0.25">
      <c r="A87" t="s">
        <v>207</v>
      </c>
      <c r="B87" t="s">
        <v>24</v>
      </c>
      <c r="C87" t="s">
        <v>89</v>
      </c>
      <c r="D87">
        <v>16330.26</v>
      </c>
      <c r="E87" t="s">
        <v>171</v>
      </c>
      <c r="F87" t="s">
        <v>176</v>
      </c>
      <c r="G87" t="s">
        <v>178</v>
      </c>
      <c r="H87" t="s">
        <v>185</v>
      </c>
    </row>
    <row r="88" spans="1:8" x14ac:dyDescent="0.25">
      <c r="A88" t="s">
        <v>209</v>
      </c>
      <c r="B88" t="s">
        <v>26</v>
      </c>
      <c r="C88" t="s">
        <v>91</v>
      </c>
      <c r="D88">
        <v>9932.14</v>
      </c>
      <c r="E88" t="s">
        <v>171</v>
      </c>
      <c r="F88" t="s">
        <v>177</v>
      </c>
      <c r="G88" t="s">
        <v>180</v>
      </c>
      <c r="H88" t="s">
        <v>185</v>
      </c>
    </row>
    <row r="89" spans="1:8" x14ac:dyDescent="0.25">
      <c r="A89" t="s">
        <v>210</v>
      </c>
      <c r="B89" t="s">
        <v>27</v>
      </c>
      <c r="C89" t="s">
        <v>92</v>
      </c>
      <c r="D89">
        <v>33379.61</v>
      </c>
      <c r="E89" t="s">
        <v>171</v>
      </c>
      <c r="F89" t="s">
        <v>177</v>
      </c>
      <c r="G89" t="s">
        <v>179</v>
      </c>
      <c r="H89" t="s">
        <v>184</v>
      </c>
    </row>
    <row r="90" spans="1:8" x14ac:dyDescent="0.25">
      <c r="A90" t="s">
        <v>217</v>
      </c>
      <c r="B90" t="s">
        <v>33</v>
      </c>
      <c r="C90" t="s">
        <v>99</v>
      </c>
      <c r="D90">
        <v>24180.45</v>
      </c>
      <c r="E90" t="s">
        <v>171</v>
      </c>
      <c r="F90" t="s">
        <v>177</v>
      </c>
      <c r="G90" t="s">
        <v>178</v>
      </c>
      <c r="H90" t="s">
        <v>185</v>
      </c>
    </row>
    <row r="91" spans="1:8" x14ac:dyDescent="0.25">
      <c r="A91" t="s">
        <v>226</v>
      </c>
      <c r="B91" t="s">
        <v>30</v>
      </c>
      <c r="C91" t="s">
        <v>108</v>
      </c>
      <c r="D91">
        <v>4106.57</v>
      </c>
      <c r="E91" t="s">
        <v>171</v>
      </c>
      <c r="F91" t="s">
        <v>177</v>
      </c>
      <c r="G91" t="s">
        <v>178</v>
      </c>
      <c r="H91" t="s">
        <v>184</v>
      </c>
    </row>
    <row r="92" spans="1:8" x14ac:dyDescent="0.25">
      <c r="A92" t="s">
        <v>227</v>
      </c>
      <c r="B92" t="s">
        <v>10</v>
      </c>
      <c r="C92" t="s">
        <v>109</v>
      </c>
      <c r="D92">
        <v>16915.53</v>
      </c>
      <c r="E92" t="s">
        <v>171</v>
      </c>
      <c r="F92" t="s">
        <v>177</v>
      </c>
      <c r="G92" t="s">
        <v>178</v>
      </c>
      <c r="H92" t="s">
        <v>185</v>
      </c>
    </row>
    <row r="93" spans="1:8" x14ac:dyDescent="0.25">
      <c r="A93" t="s">
        <v>229</v>
      </c>
      <c r="B93" t="s">
        <v>40</v>
      </c>
      <c r="C93" t="s">
        <v>112</v>
      </c>
      <c r="D93">
        <v>34595.54</v>
      </c>
      <c r="E93" t="s">
        <v>171</v>
      </c>
      <c r="F93" t="s">
        <v>177</v>
      </c>
      <c r="G93" t="s">
        <v>180</v>
      </c>
      <c r="H93" t="s">
        <v>189</v>
      </c>
    </row>
    <row r="94" spans="1:8" x14ac:dyDescent="0.25">
      <c r="A94" t="s">
        <v>231</v>
      </c>
      <c r="B94" t="s">
        <v>40</v>
      </c>
      <c r="C94" t="s">
        <v>114</v>
      </c>
      <c r="D94">
        <v>13089.12</v>
      </c>
      <c r="E94" t="s">
        <v>171</v>
      </c>
      <c r="F94" t="s">
        <v>177</v>
      </c>
      <c r="G94" t="s">
        <v>179</v>
      </c>
      <c r="H94" t="s">
        <v>182</v>
      </c>
    </row>
    <row r="95" spans="1:8" x14ac:dyDescent="0.25">
      <c r="A95" t="s">
        <v>234</v>
      </c>
      <c r="B95" t="s">
        <v>43</v>
      </c>
      <c r="C95" t="s">
        <v>117</v>
      </c>
      <c r="D95">
        <v>15994.94</v>
      </c>
      <c r="E95" t="s">
        <v>171</v>
      </c>
      <c r="F95" t="s">
        <v>177</v>
      </c>
      <c r="G95" t="s">
        <v>180</v>
      </c>
      <c r="H95" t="s">
        <v>188</v>
      </c>
    </row>
    <row r="96" spans="1:8" x14ac:dyDescent="0.25">
      <c r="A96" t="s">
        <v>241</v>
      </c>
      <c r="B96" t="s">
        <v>47</v>
      </c>
      <c r="C96" t="s">
        <v>124</v>
      </c>
      <c r="D96">
        <v>32011.72</v>
      </c>
      <c r="E96" t="s">
        <v>171</v>
      </c>
      <c r="F96" t="s">
        <v>175</v>
      </c>
      <c r="G96" t="s">
        <v>180</v>
      </c>
      <c r="H96" t="s">
        <v>184</v>
      </c>
    </row>
    <row r="97" spans="1:8" x14ac:dyDescent="0.25">
      <c r="A97" t="s">
        <v>252</v>
      </c>
      <c r="B97" t="s">
        <v>53</v>
      </c>
      <c r="C97" t="s">
        <v>135</v>
      </c>
      <c r="D97">
        <v>23897.89</v>
      </c>
      <c r="E97" t="s">
        <v>171</v>
      </c>
      <c r="F97" t="s">
        <v>175</v>
      </c>
      <c r="G97" t="s">
        <v>181</v>
      </c>
      <c r="H97" t="s">
        <v>186</v>
      </c>
    </row>
    <row r="98" spans="1:8" x14ac:dyDescent="0.25">
      <c r="A98" t="s">
        <v>262</v>
      </c>
      <c r="B98" t="s">
        <v>61</v>
      </c>
      <c r="C98" t="s">
        <v>145</v>
      </c>
      <c r="D98">
        <v>27999.19</v>
      </c>
      <c r="E98" t="s">
        <v>171</v>
      </c>
      <c r="F98" t="s">
        <v>175</v>
      </c>
      <c r="G98" t="s">
        <v>178</v>
      </c>
      <c r="H98" t="s">
        <v>188</v>
      </c>
    </row>
    <row r="99" spans="1:8" x14ac:dyDescent="0.25">
      <c r="A99" t="s">
        <v>271</v>
      </c>
      <c r="B99" t="s">
        <v>64</v>
      </c>
      <c r="C99" t="s">
        <v>155</v>
      </c>
      <c r="D99">
        <v>9686.98</v>
      </c>
      <c r="E99" t="s">
        <v>171</v>
      </c>
      <c r="F99" t="s">
        <v>176</v>
      </c>
      <c r="G99" t="s">
        <v>179</v>
      </c>
      <c r="H99" t="s">
        <v>189</v>
      </c>
    </row>
    <row r="100" spans="1:8" x14ac:dyDescent="0.25">
      <c r="A100" t="s">
        <v>281</v>
      </c>
      <c r="B100" t="s">
        <v>68</v>
      </c>
      <c r="C100" t="s">
        <v>165</v>
      </c>
      <c r="D100">
        <v>1126.58</v>
      </c>
      <c r="E100" t="s">
        <v>171</v>
      </c>
      <c r="F100" t="s">
        <v>176</v>
      </c>
      <c r="G100" t="s">
        <v>178</v>
      </c>
      <c r="H100" t="s">
        <v>186</v>
      </c>
    </row>
    <row r="101" spans="1:8" x14ac:dyDescent="0.25">
      <c r="A101" t="s">
        <v>284</v>
      </c>
      <c r="B101" t="s">
        <v>51</v>
      </c>
      <c r="C101" t="s">
        <v>168</v>
      </c>
      <c r="D101">
        <v>17996.39</v>
      </c>
      <c r="E101" t="s">
        <v>171</v>
      </c>
      <c r="F101" t="s">
        <v>176</v>
      </c>
      <c r="G101" t="s">
        <v>179</v>
      </c>
      <c r="H101" t="s">
        <v>185</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3"/>
  <sheetViews>
    <sheetView showGridLines="0" zoomScaleNormal="100" workbookViewId="0">
      <selection activeCell="S31" sqref="S31"/>
    </sheetView>
  </sheetViews>
  <sheetFormatPr defaultRowHeight="15" x14ac:dyDescent="0.25"/>
  <cols>
    <col min="1" max="16384" width="9.140625" style="2"/>
  </cols>
  <sheetData>
    <row r="1" spans="1:22" x14ac:dyDescent="0.25">
      <c r="A1" s="6"/>
      <c r="B1" s="6"/>
      <c r="C1" s="6"/>
      <c r="D1" s="6"/>
      <c r="E1" s="6"/>
      <c r="F1" s="6"/>
      <c r="G1" s="6"/>
      <c r="H1" s="6"/>
      <c r="I1" s="6"/>
      <c r="J1" s="6"/>
      <c r="K1" s="6"/>
      <c r="L1" s="6"/>
      <c r="M1" s="6"/>
      <c r="N1" s="6"/>
      <c r="O1" s="6"/>
      <c r="P1" s="6"/>
      <c r="Q1" s="6"/>
      <c r="R1" s="6"/>
      <c r="S1" s="6"/>
      <c r="T1" s="6"/>
      <c r="U1" s="6"/>
      <c r="V1" s="6"/>
    </row>
    <row r="2" spans="1:22" x14ac:dyDescent="0.25">
      <c r="A2" s="6"/>
      <c r="B2" s="6"/>
      <c r="C2" s="6"/>
      <c r="D2" s="6"/>
      <c r="E2" s="6"/>
      <c r="F2" s="6"/>
      <c r="G2" s="6"/>
      <c r="H2" s="6"/>
      <c r="I2" s="6"/>
      <c r="J2" s="6"/>
      <c r="K2" s="6"/>
      <c r="L2" s="6"/>
      <c r="M2" s="6"/>
      <c r="N2" s="6"/>
      <c r="O2" s="6"/>
      <c r="P2" s="6"/>
      <c r="Q2" s="6"/>
      <c r="R2" s="6"/>
      <c r="S2" s="6"/>
      <c r="T2" s="6"/>
      <c r="U2" s="6"/>
      <c r="V2" s="6"/>
    </row>
    <row r="3" spans="1:22" x14ac:dyDescent="0.25">
      <c r="A3" s="6"/>
      <c r="B3" s="6"/>
      <c r="C3" s="6"/>
      <c r="D3" s="6"/>
      <c r="E3" s="6"/>
      <c r="F3" s="6"/>
      <c r="G3" s="6"/>
      <c r="H3" s="6"/>
      <c r="I3" s="6"/>
      <c r="J3" s="6"/>
      <c r="K3" s="6"/>
      <c r="L3" s="6"/>
      <c r="M3" s="6"/>
      <c r="N3" s="6"/>
      <c r="O3" s="6"/>
      <c r="P3" s="6"/>
      <c r="Q3" s="6"/>
      <c r="R3" s="6"/>
      <c r="S3" s="6"/>
      <c r="T3" s="6"/>
      <c r="U3" s="6"/>
      <c r="V3" s="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vt:lpstr>
      <vt:lpstr>Sheet2</vt:lpstr>
      <vt:lpstr>Data</vt:lpstr>
      <vt:lpstr>Dashboard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2025-05-17T16:10:22Z</dcterms:created>
  <dcterms:modified xsi:type="dcterms:W3CDTF">2025-05-26T05:57:03Z</dcterms:modified>
</cp:coreProperties>
</file>